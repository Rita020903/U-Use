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b015242e7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eea03d2d52f4a1a"/>
    <x:sheet xmlns:r="http://schemas.openxmlformats.org/officeDocument/2006/relationships" name="Scenarios" sheetId="2" r:id="Rf11e67e42232407c"/>
    <x:sheet xmlns:r="http://schemas.openxmlformats.org/officeDocument/2006/relationships" name="Costs" sheetId="3" r:id="Rb7989b8ddddf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&quot;CNY &quot;0.00"/>
    <x:numFmt numFmtId="202" formatCode="0.0"/>
    <x:numFmt numFmtId="203" formatCode="&quot;CNY &quot;#,##0.00;(&quot;CNY &quot;#,##0.00);&quot;CNY &quot;0.00"/>
    <x:numFmt numFmtId="204" formatCode="&quot;CNY &quot;#,##0.00"/>
  </x:numFmts>
  <x:fonts count="8">
    <x:font>
      <x:sz val="11"/>
      <x:name val="Carlito"/>
    </x:font>
    <x:font>
      <x:sz val="11"/>
      <x:name val="Arial"/>
    </x:font>
    <x:font>
      <x:b/>
      <x:sz val="19"/>
      <x:name val="Arial"/>
    </x:font>
    <x:font>
      <x:i/>
      <x:sz val="1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383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f0f4cde924a5a" /><Relationship Type="http://schemas.openxmlformats.org/officeDocument/2006/relationships/theme" Target="/xl/theme/theme1.xml" Id="R573f0b849b9d408e" /><Relationship Type="http://schemas.openxmlformats.org/officeDocument/2006/relationships/sharedStrings" Target="/xl/sharedStrings.xml" Id="R9f3de868f96b4a3e" /><Relationship Type="http://schemas.openxmlformats.org/officeDocument/2006/relationships/worksheet" Target="/xl/worksheets/sheet1.xml" Id="R3eea03d2d52f4a1a" /><Relationship Type="http://schemas.openxmlformats.org/officeDocument/2006/relationships/worksheet" Target="/xl/worksheets/sheet2.xml" Id="Rf11e67e42232407c" /><Relationship Type="http://schemas.openxmlformats.org/officeDocument/2006/relationships/worksheet" Target="/xl/worksheets/sheet3.xml" Id="Rb7989b8ddddf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0" customHeight="1">
      <x:c r="A2" s="3"/>
      <x:c r="B2" s="4" t="str">
        <x:v>U Use assumptions</x:v>
      </x:c>
      <x:c r="C2" s="4"/>
      <x:c r="D2" s="4"/>
      <x:c r="E2" s="4"/>
      <x:c r="F2" s="4"/>
    </x:row>
    <x:row r="3" ht="30" customHeight="1">
      <x:c r="A3" s="3"/>
      <x:c r="B3" s="5" t="str">
        <x:v>Four-week planning assumptions • 6 October 2026 • CNY</x:v>
      </x:c>
      <x:c r="C3" s="5"/>
      <x:c r="D3" s="5"/>
      <x:c r="E3" s="5"/>
      <x:c r="F3" s="5"/>
    </x:row>
    <x:row r="4" ht="30" customHeight="1">
      <x:c r="A4" s="3"/>
      <x:c r="B4" s="3"/>
      <x:c r="C4" s="3"/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5" customHeight="1">
      <x:c r="A6" s="3"/>
      <x:c r="B6" s="19" t="str">
        <x:v>Driver</x:v>
      </x:c>
      <x:c r="C6" s="19" t="str">
        <x:v>Low</x:v>
      </x:c>
      <x:c r="D6" s="19" t="str">
        <x:v>Base</x:v>
      </x:c>
      <x:c r="E6" s="19" t="str">
        <x:v>Upper</x:v>
      </x:c>
      <x:c r="F6" s="19" t="str">
        <x:v>Basis / source</x:v>
      </x:c>
    </x:row>
    <x:row r="7" ht="30" customHeight="1">
      <x:c r="A7" s="3"/>
      <x:c r="B7" s="20" t="str">
        <x:v>Reachable invitees</x:v>
      </x:c>
      <x:c r="C7" s="21" t="n">
        <x:v>60</x:v>
      </x:c>
      <x:c r="D7" s="21" t="n">
        <x:v>120</x:v>
      </x:c>
      <x:c r="E7" s="21" t="n">
        <x:v>180</x:v>
      </x:c>
      <x:c r="F7" s="20" t="str">
        <x:v>Capacity assumption, not observed audience</x:v>
      </x:c>
    </x:row>
    <x:row r="8" ht="30" customHeight="1">
      <x:c r="A8" s="3"/>
      <x:c r="B8" s="20" t="str">
        <x:v>Activation rate</x:v>
      </x:c>
      <x:c r="C8" s="22" t="n">
        <x:v>0.1</x:v>
      </x:c>
      <x:c r="D8" s="22" t="n">
        <x:v>0.15</x:v>
      </x:c>
      <x:c r="E8" s="22" t="n">
        <x:v>0.2</x:v>
      </x:c>
      <x:c r="F8" s="20" t="str">
        <x:v>Untested assumption; includes creating a real request/listing</x:v>
      </x:c>
    </x:row>
    <x:row r="9" ht="30" customHeight="1">
      <x:c r="A9" s="3"/>
      <x:c r="B9" s="20" t="str">
        <x:v>Trade completion / activated</x:v>
      </x:c>
      <x:c r="C9" s="22" t="n">
        <x:v>0.25</x:v>
      </x:c>
      <x:c r="D9" s="22" t="n">
        <x:v>0.4</x:v>
      </x:c>
      <x:c r="E9" s="22" t="n">
        <x:v>0.5</x:v>
      </x:c>
      <x:c r="F9" s="20" t="str">
        <x:v>Untested assumption; one trade per completing user</x:v>
      </x:c>
    </x:row>
    <x:row r="10" ht="30" customHeight="1">
      <x:c r="A10" s="3"/>
      <x:c r="B10" s="20" t="str">
        <x:v>Avg paid consideration (CNY)</x:v>
      </x:c>
      <x:c r="C10" s="23" t="n">
        <x:v>20</x:v>
      </x:c>
      <x:c r="D10" s="23" t="n">
        <x:v>30</x:v>
      </x:c>
      <x:c r="E10" s="23" t="n">
        <x:v>40</x:v>
      </x:c>
      <x:c r="F10" s="20" t="str">
        <x:v>Assumption; excludes deposits, swaps and free loans</x:v>
      </x:c>
    </x:row>
    <x:row r="11" ht="30" customHeight="1">
      <x:c r="A11" s="3"/>
      <x:c r="B11" s="20" t="str">
        <x:v>Pilot platform fee</x:v>
      </x:c>
      <x:c r="C11" s="22" t="n">
        <x:v>0</x:v>
      </x:c>
      <x:c r="D11" s="22" t="n">
        <x:v>0</x:v>
      </x:c>
      <x:c r="E11" s="22" t="n">
        <x:v>0</x:v>
      </x:c>
      <x:c r="F11" s="20" t="str">
        <x:v>Free pilot, no implemented fee collection</x:v>
      </x:c>
    </x:row>
    <x:row r="12" ht="30" customHeight="1">
      <x:c r="A12" s="3"/>
      <x:c r="B12" s="20" t="str">
        <x:v>Possible later fee</x:v>
      </x:c>
      <x:c r="C12" s="22" t="n">
        <x:v>0.05</x:v>
      </x:c>
      <x:c r="D12" s="22" t="n">
        <x:v>0.05</x:v>
      </x:c>
      <x:c r="E12" s="22" t="n">
        <x:v>0.05</x:v>
      </x:c>
      <x:c r="F12" s="20" t="str">
        <x:v>Hypothesis only, not a charged fee</x:v>
      </x:c>
    </x:row>
    <x:row r="13" ht="30" customHeight="1">
      <x:c r="A13" s="3"/>
      <x:c r="B13" s="20" t="str">
        <x:v>Pilot duration (weeks)</x:v>
      </x:c>
      <x:c r="C13" s="21" t="n">
        <x:v>4</x:v>
      </x:c>
      <x:c r="D13" s="21" t="n">
        <x:v>4</x:v>
      </x:c>
      <x:c r="E13" s="21" t="n">
        <x:v>4</x:v>
      </x:c>
      <x:c r="F13" s="20" t="str">
        <x:v>Planned operating window</x:v>
      </x:c>
    </x:row>
    <x:row r="14" ht="30" customHeight="1">
      <x:c r="A14" s="3"/>
      <x:c r="B14" s="20" t="str">
        <x:v>Institutional students</x:v>
      </x:c>
      <x:c r="C14" s="24" t="n">
        <x:v>26000</x:v>
      </x:c>
      <x:c r="D14" s="24" t="n">
        <x:v>26000</x:v>
      </x:c>
      <x:c r="E14" s="24" t="n">
        <x:v>26000</x:v>
      </x:c>
      <x:c r="F14" s="20" t="str">
        <x:v>S1 overview says 26,000+; floor, not campus SAM</x:v>
      </x:c>
    </x:row>
    <x:row r="15" ht="30" customHeight="1">
      <x:c r="A15" s="3"/>
      <x:c r="B15" s="20" t="str">
        <x:v>Demand downside</x:v>
      </x:c>
      <x:c r="C15" s="21" t="n">
        <x:v>0</x:v>
      </x:c>
      <x:c r="D15" s="21" t="n">
        <x:v>0</x:v>
      </x:c>
      <x:c r="E15" s="21" t="n">
        <x:v>0</x:v>
      </x:c>
      <x:c r="F15" s="20" t="str">
        <x:v>Zero demand is possible in every planning case</x:v>
      </x:c>
    </x:row>
    <x:row r="16" ht="30" customHeight="1">
      <x:c r="A16" s="3"/>
      <x:c r="B16" s="3"/>
      <x:c r="C16" s="3"/>
      <x:c r="D16" s="3"/>
      <x:c r="E16" s="3"/>
      <x:c r="F16" s="3"/>
    </x:row>
    <x:row r="17" ht="32" customHeight="1">
      <x:c r="A17" s="3"/>
      <x:c r="B17" s="3" t="str">
        <x:v>S1 https://www.xjtlu.edu.cn/en/overview — updated May 2026, reviewed 6 Oct 2026. Institutional population does not measure reachable SIP/XEC students. A national monetised TAM remains unverified.</x:v>
      </x:c>
      <x:c r="C17" s="3"/>
      <x:c r="D17" s="3"/>
      <x:c r="E17" s="3"/>
      <x:c r="F17" s="3"/>
    </x:row>
    <x:row r="18" ht="32" customHeight="1">
      <x:c r="A18" s="3"/>
      <x:c r="B18" s="3"/>
      <x:c r="C18" s="3"/>
      <x:c r="D18" s="3"/>
      <x:c r="E18" s="3"/>
      <x:c r="F18" s="3"/>
    </x:row>
    <x:row r="19" ht="30" customHeight="1">
      <x:c r="A19" s="3"/>
      <x:c r="B19" s="3"/>
      <x:c r="C19" s="3"/>
      <x:c r="D19" s="3"/>
      <x:c r="E19" s="3"/>
      <x:c r="F19" s="3"/>
    </x:row>
    <x:row r="20" ht="30" customHeight="1">
      <x:c r="A20" s="3"/>
      <x:c r="B20" s="3" t="str">
        <x:v>Blue numbers: editable assumptions. Green formulas: cross-sheet links. Black: within-sheet calculation. All scenarios are hypothetical, not targets or forecasts.</x:v>
      </x:c>
      <x:c r="C20" s="3"/>
      <x:c r="D20" s="3"/>
      <x:c r="E20" s="3"/>
      <x:c r="F20" s="3"/>
    </x:row>
    <x:row r="21" ht="30" customHeight="1">
      <x:c r="A21" s="3"/>
      <x:c r="B21" s="3"/>
      <x:c r="C21" s="3"/>
      <x:c r="D21" s="3"/>
      <x:c r="E21" s="3"/>
      <x:c r="F21" s="3"/>
    </x:row>
    <x:row r="22" ht="30" customHeight="1">
      <x:c r="A22" s="3"/>
      <x:c r="B22" s="3"/>
      <x:c r="C22" s="3"/>
      <x:c r="D22" s="3"/>
      <x:c r="E22" s="3"/>
      <x:c r="F22" s="3"/>
    </x:row>
  </x:sheetData>
  <x:mergeCells>
    <x:mergeCell ref="B2:F2"/>
    <x:mergeCell ref="B3:F3"/>
    <x:mergeCell ref="B17:F18"/>
    <x:mergeCell ref="B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0" customHeight="1">
      <x:c r="A2" s="3"/>
      <x:c r="B2" s="4" t="str">
        <x:v>U Use pilot scenarios</x:v>
      </x:c>
      <x:c r="C2" s="4"/>
      <x:c r="D2" s="4"/>
      <x:c r="E2" s="4"/>
      <x:c r="F2" s="4"/>
    </x:row>
    <x:row r="3" ht="30" customHeight="1">
      <x:c r="A3" s="3"/>
      <x:c r="B3" s="5" t="str">
        <x:v>Four-week planning assumptions • 6 October 2026 • CNY</x:v>
      </x:c>
      <x:c r="C3" s="5"/>
      <x:c r="D3" s="5"/>
      <x:c r="E3" s="5"/>
      <x:c r="F3" s="5"/>
    </x:row>
    <x:row r="4" ht="30" customHeight="1">
      <x:c r="A4" s="3"/>
      <x:c r="B4" s="3"/>
      <x:c r="C4" s="3"/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5" customHeight="1">
      <x:c r="A6" s="3"/>
      <x:c r="B6" s="19" t="str">
        <x:v>Measure</x:v>
      </x:c>
      <x:c r="C6" s="19" t="str">
        <x:v>Low</x:v>
      </x:c>
      <x:c r="D6" s="19" t="str">
        <x:v>Base</x:v>
      </x:c>
      <x:c r="E6" s="19" t="str">
        <x:v>Upper</x:v>
      </x:c>
      <x:c r="F6" s="19" t="str">
        <x:v>Definition</x:v>
      </x:c>
    </x:row>
    <x:row r="7" ht="30" customHeight="1">
      <x:c r="A7" s="3"/>
      <x:c r="B7" s="20" t="str">
        <x:v>Reachable cohort / provisional SAM</x:v>
      </x:c>
      <x:c r="C7" s="25" t="n">
        <x:f>Inputs!C7</x:f>
        <x:v>60</x:v>
      </x:c>
      <x:c r="D7" s="25" t="n">
        <x:f>Inputs!D7</x:f>
        <x:v>120</x:v>
      </x:c>
      <x:c r="E7" s="25" t="n">
        <x:f>Inputs!E7</x:f>
        <x:v>180</x:v>
      </x:c>
      <x:c r="F7" s="20" t="str">
        <x:v>Unique reachable invitees</x:v>
      </x:c>
    </x:row>
    <x:row r="8" ht="30" customHeight="1">
      <x:c r="A8" s="3"/>
      <x:c r="B8" s="20" t="str">
        <x:v>Activated / provisional SOM</x:v>
      </x:c>
      <x:c r="C8" s="25" t="n">
        <x:f>C7*Inputs!C8</x:f>
        <x:v>6</x:v>
      </x:c>
      <x:c r="D8" s="25" t="n">
        <x:f>D7*Inputs!D8</x:f>
        <x:v>18</x:v>
      </x:c>
      <x:c r="E8" s="25" t="n">
        <x:f>E7*Inputs!E8</x:f>
        <x:v>36</x:v>
      </x:c>
      <x:c r="F8" s="20" t="str">
        <x:v>Users creating a genuine request or listing</x:v>
      </x:c>
    </x:row>
    <x:row r="9" ht="30" customHeight="1">
      <x:c r="A9" s="3"/>
      <x:c r="B9" s="20" t="str">
        <x:v>Expected completed trades</x:v>
      </x:c>
      <x:c r="C9" s="25" t="n">
        <x:f>C8*Inputs!C9</x:f>
        <x:v>1.5</x:v>
      </x:c>
      <x:c r="D9" s="25" t="n">
        <x:f>D8*Inputs!D9</x:f>
        <x:v>7.2</x:v>
      </x:c>
      <x:c r="E9" s="25" t="n">
        <x:f>E8*Inputs!E9</x:f>
        <x:v>18</x:v>
      </x:c>
      <x:c r="F9" s="20" t="str">
        <x:v>Expectation may be fractional; observations are integer counts</x:v>
      </x:c>
    </x:row>
    <x:row r="10" ht="30" customHeight="1">
      <x:c r="A10" s="3"/>
      <x:c r="B10" s="20" t="str">
        <x:v>Paid consideration (CNY)</x:v>
      </x:c>
      <x:c r="C10" s="26" t="n">
        <x:f>Inputs!C10</x:f>
        <x:v>20</x:v>
      </x:c>
      <x:c r="D10" s="26" t="n">
        <x:f>Inputs!D10</x:f>
        <x:v>30</x:v>
      </x:c>
      <x:c r="E10" s="26" t="n">
        <x:f>Inputs!E10</x:f>
        <x:v>40</x:v>
      </x:c>
      <x:c r="F10" s="20" t="str">
        <x:v>Average value excluding refundable deposit</x:v>
      </x:c>
    </x:row>
    <x:row r="11" ht="30" customHeight="1">
      <x:c r="A11" s="3"/>
      <x:c r="B11" s="20" t="str">
        <x:v>Expected GMV (CNY)</x:v>
      </x:c>
      <x:c r="C11" s="27" t="n">
        <x:f>C9*C10</x:f>
        <x:v>30</x:v>
      </x:c>
      <x:c r="D11" s="27" t="n">
        <x:f>D9*D10</x:f>
        <x:v>216</x:v>
      </x:c>
      <x:c r="E11" s="27" t="n">
        <x:f>E9*E10</x:f>
        <x:v>720</x:v>
      </x:c>
      <x:c r="F11" s="20" t="str">
        <x:v>Completed fee-bearing trades times consideration</x:v>
      </x:c>
    </x:row>
    <x:row r="12" ht="30" customHeight="1">
      <x:c r="A12" s="3"/>
      <x:c r="B12" s="20" t="str">
        <x:v>Pilot fee revenue (CNY)</x:v>
      </x:c>
      <x:c r="C12" s="26" t="n">
        <x:f>C11*Inputs!C11</x:f>
        <x:v>0</x:v>
      </x:c>
      <x:c r="D12" s="26" t="n">
        <x:f>D11*Inputs!D11</x:f>
        <x:v>0</x:v>
      </x:c>
      <x:c r="E12" s="26" t="n">
        <x:f>E11*Inputs!E11</x:f>
        <x:v>0</x:v>
      </x:c>
      <x:c r="F12" s="20" t="str">
        <x:v>Free pilot</x:v>
      </x:c>
    </x:row>
    <x:row r="13" ht="30" customHeight="1">
      <x:c r="A13" s="3"/>
      <x:c r="B13" s="20" t="str">
        <x:v>Possible later fee revenue (CNY)</x:v>
      </x:c>
      <x:c r="C13" s="26" t="n">
        <x:f>C11*Inputs!C12</x:f>
        <x:v>1.5</x:v>
      </x:c>
      <x:c r="D13" s="26" t="n">
        <x:f>D11*Inputs!D12</x:f>
        <x:v>10.8</x:v>
      </x:c>
      <x:c r="E13" s="26" t="n">
        <x:f>E11*Inputs!E12</x:f>
        <x:v>36</x:v>
      </x:c>
      <x:c r="F13" s="20" t="str">
        <x:v>5% hypothetical fee, not pilot receipts</x:v>
      </x:c>
    </x:row>
    <x:row r="14" ht="30" customHeight="1">
      <x:c r="A14" s="3"/>
      <x:c r="B14" s="20" t="str">
        <x:v>Cash expense plan (CNY)</x:v>
      </x:c>
      <x:c r="C14" s="26" t="n">
        <x:f>Costs!C11</x:f>
        <x:v>180</x:v>
      </x:c>
      <x:c r="D14" s="26" t="n">
        <x:f>Costs!C11</x:f>
        <x:v>180</x:v>
      </x:c>
      <x:c r="E14" s="26" t="n">
        <x:f>Costs!C11</x:f>
        <x:v>180</x:v>
      </x:c>
      <x:c r="F14" s="20" t="str">
        <x:v>Same fixed cash plan across cases</x:v>
      </x:c>
    </x:row>
    <x:row r="15" ht="30" customHeight="1">
      <x:c r="A15" s="3"/>
      <x:c r="B15" s="20" t="str">
        <x:v>Pilot cash contribution (CNY)</x:v>
      </x:c>
      <x:c r="C15" s="27" t="n">
        <x:f>C12-C14</x:f>
        <x:v>-180</x:v>
      </x:c>
      <x:c r="D15" s="27" t="n">
        <x:f>D12-D14</x:f>
        <x:v>-180</x:v>
      </x:c>
      <x:c r="E15" s="27" t="n">
        <x:f>E12-E14</x:f>
        <x:v>-180</x:v>
      </x:c>
      <x:c r="F15" s="20" t="str">
        <x:v>Revenue minus cash expenses</x:v>
      </x:c>
    </x:row>
    <x:row r="16" ht="30" customHeight="1">
      <x:c r="A16" s="3"/>
      <x:c r="B16" s="20" t="str">
        <x:v>Later-fee cash contribution (CNY)</x:v>
      </x:c>
      <x:c r="C16" s="27" t="n">
        <x:f>C13-C14</x:f>
        <x:v>-178.5</x:v>
      </x:c>
      <x:c r="D16" s="27" t="n">
        <x:f>D13-D14</x:f>
        <x:v>-169.2</x:v>
      </x:c>
      <x:c r="E16" s="27" t="n">
        <x:f>E13-E14</x:f>
        <x:v>-144</x:v>
      </x:c>
      <x:c r="F16" s="20" t="str">
        <x:v>Hypothetical fee revenue minus cash expenses</x:v>
      </x:c>
    </x:row>
    <x:row r="17" ht="30" customHeight="1">
      <x:c r="A17" s="3"/>
      <x:c r="B17" s="20" t="str">
        <x:v>Labour opportunity cost (CNY)</x:v>
      </x:c>
      <x:c r="C17" s="26" t="n">
        <x:f>Costs!C17</x:f>
        <x:v>1120</x:v>
      </x:c>
      <x:c r="D17" s="26" t="n">
        <x:f>Costs!C17</x:f>
        <x:v>1120</x:v>
      </x:c>
      <x:c r="E17" s="26" t="n">
        <x:f>Costs!C17</x:f>
        <x:v>1120</x:v>
      </x:c>
      <x:c r="F17" s="20" t="str">
        <x:v>Assumed team time value</x:v>
      </x:c>
    </x:row>
    <x:row r="18" ht="30" customHeight="1">
      <x:c r="A18" s="3"/>
      <x:c r="B18" s="20" t="str">
        <x:v>Later-fee economic contribution</x:v>
      </x:c>
      <x:c r="C18" s="27" t="n">
        <x:f>C13-C14-C17</x:f>
        <x:v>-1298.5</x:v>
      </x:c>
      <x:c r="D18" s="27" t="n">
        <x:f>D13-D14-D17</x:f>
        <x:v>-1289.2</x:v>
      </x:c>
      <x:c r="E18" s="27" t="n">
        <x:f>E13-E14-E17</x:f>
        <x:v>-1264</x:v>
      </x:c>
      <x:c r="F18" s="20" t="str">
        <x:v>Fee revenue minus cash and labour costs</x:v>
      </x:c>
    </x:row>
    <x:row r="19" ht="30" customHeight="1">
      <x:c r="A19" s="3"/>
      <x:c r="B19" s="3"/>
      <x:c r="C19" s="3"/>
      <x:c r="D19" s="3"/>
      <x:c r="E19" s="3"/>
      <x:c r="F19" s="3"/>
    </x:row>
    <x:row r="20" ht="30" customHeight="1">
      <x:c r="A20" s="3"/>
      <x:c r="B20" s="3" t="str">
        <x:v>Base arithmetic: 120 × 15% = 18 activated; 18 × 40% = 7.2 expected trades; 7.2 × CNY 30 = CNY 216 GMV. Pilot revenue is zero. Deposits are refundable liabilities, excluded from GMV and revenue. Costs do not include taxes, payment-provider fees or losses.</x:v>
      </x:c>
      <x:c r="C20" s="3"/>
      <x:c r="D20" s="3"/>
      <x:c r="E20" s="3"/>
      <x:c r="F20" s="3"/>
    </x:row>
    <x:row r="21" ht="30" customHeight="1">
      <x:c r="A21" s="3"/>
      <x:c r="B21" s="3"/>
      <x:c r="C21" s="3"/>
      <x:c r="D21" s="3"/>
      <x:c r="E21" s="3"/>
      <x:c r="F21" s="3"/>
    </x:row>
    <x:row r="22" ht="30" customHeight="1">
      <x:c r="A22" s="3"/>
      <x:c r="B22" s="3"/>
      <x:c r="C22" s="3"/>
      <x:c r="D22" s="3"/>
      <x:c r="E22" s="3"/>
      <x:c r="F22" s="3"/>
    </x:row>
    <x:row r="23" ht="30" customHeight="1">
      <x:c r="A23" s="3"/>
      <x:c r="B23" s="3"/>
      <x:c r="C23" s="3"/>
      <x:c r="D23" s="3"/>
      <x:c r="E23" s="3"/>
      <x:c r="F23" s="3"/>
    </x:row>
  </x:sheetData>
  <x:mergeCells>
    <x:mergeCell ref="B2:F2"/>
    <x:mergeCell ref="B3:F3"/>
    <x:mergeCell ref="B20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0" customHeight="1">
      <x:c r="A2" s="3"/>
      <x:c r="B2" s="4" t="str">
        <x:v>U Use cost plan</x:v>
      </x:c>
      <x:c r="C2" s="4"/>
      <x:c r="D2" s="4"/>
      <x:c r="E2" s="4"/>
      <x:c r="F2" s="4"/>
    </x:row>
    <x:row r="3" ht="30" customHeight="1">
      <x:c r="A3" s="3"/>
      <x:c r="B3" s="5" t="str">
        <x:v>Four-week planning assumptions • 6 October 2026 • CNY</x:v>
      </x:c>
      <x:c r="C3" s="5"/>
      <x:c r="D3" s="5"/>
      <x:c r="E3" s="5"/>
      <x:c r="F3" s="5"/>
    </x:row>
    <x:row r="4" ht="30" customHeight="1">
      <x:c r="A4" s="3"/>
      <x:c r="B4" s="3"/>
      <x:c r="C4" s="3"/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5" customHeight="1">
      <x:c r="A6" s="3"/>
      <x:c r="B6" s="19" t="str">
        <x:v>Cash item</x:v>
      </x:c>
      <x:c r="C6" s="19" t="str">
        <x:v>CNY</x:v>
      </x:c>
      <x:c r="D6" s="19" t="str">
        <x:v>Type</x:v>
      </x:c>
      <x:c r="E6" s="19" t="str">
        <x:v>Window</x:v>
      </x:c>
      <x:c r="F6" s="19" t="str">
        <x:v>Basis</x:v>
      </x:c>
    </x:row>
    <x:row r="7" ht="30" customHeight="1">
      <x:c r="A7" s="3"/>
      <x:c r="B7" s="20" t="str">
        <x:v>Hosting</x:v>
      </x:c>
      <x:c r="C7" s="23" t="n">
        <x:v>60</x:v>
      </x:c>
      <x:c r="D7" s="20" t="str">
        <x:v>Assumption</x:v>
      </x:c>
      <x:c r="E7" s="20" t="str">
        <x:v>4 weeks</x:v>
      </x:c>
      <x:c r="F7" s="20" t="str">
        <x:v>Budget allocation, not supplier quote</x:v>
      </x:c>
    </x:row>
    <x:row r="8" ht="30" customHeight="1">
      <x:c r="A8" s="3"/>
      <x:c r="B8" s="20" t="str">
        <x:v>Email</x:v>
      </x:c>
      <x:c r="C8" s="23" t="n">
        <x:v>20</x:v>
      </x:c>
      <x:c r="D8" s="20" t="str">
        <x:v>Assumption</x:v>
      </x:c>
      <x:c r="E8" s="20" t="str">
        <x:v>4 weeks</x:v>
      </x:c>
      <x:c r="F8" s="20" t="str">
        <x:v>Budget allocation, not invoice</x:v>
      </x:c>
    </x:row>
    <x:row r="9" ht="30" customHeight="1">
      <x:c r="A9" s="3"/>
      <x:c r="B9" s="20" t="str">
        <x:v>Materials</x:v>
      </x:c>
      <x:c r="C9" s="23" t="n">
        <x:v>50</x:v>
      </x:c>
      <x:c r="D9" s="20" t="str">
        <x:v>Assumption</x:v>
      </x:c>
      <x:c r="E9" s="20" t="str">
        <x:v>4 weeks</x:v>
      </x:c>
      <x:c r="F9" s="20" t="str">
        <x:v>Permitted small recruitment round</x:v>
      </x:c>
    </x:row>
    <x:row r="10" ht="30" customHeight="1">
      <x:c r="A10" s="3"/>
      <x:c r="B10" s="20" t="str">
        <x:v>Contingency</x:v>
      </x:c>
      <x:c r="C10" s="23" t="n">
        <x:v>50</x:v>
      </x:c>
      <x:c r="D10" s="20" t="str">
        <x:v>Assumption</x:v>
      </x:c>
      <x:c r="E10" s="20" t="str">
        <x:v>4 weeks</x:v>
      </x:c>
      <x:c r="F10" s="20" t="str">
        <x:v>Planning allowance, not reserve guarantee</x:v>
      </x:c>
    </x:row>
    <x:row r="11" ht="30" customHeight="1">
      <x:c r="A11" s="3"/>
      <x:c r="B11" s="20" t="str">
        <x:v>Total cash expense</x:v>
      </x:c>
      <x:c r="C11" s="28" t="n">
        <x:f>SUM(C7:C10)</x:f>
        <x:v>180</x:v>
      </x:c>
      <x:c r="D11" s="20"/>
      <x:c r="E11" s="20"/>
      <x:c r="F11" s="20"/>
    </x:row>
    <x:row r="12" ht="30" customHeight="1">
      <x:c r="A12" s="3"/>
      <x:c r="B12" s="20"/>
      <x:c r="C12" s="20"/>
      <x:c r="D12" s="20"/>
      <x:c r="E12" s="20"/>
      <x:c r="F12" s="20"/>
    </x:row>
    <x:row r="13" ht="30" customHeight="1">
      <x:c r="A13" s="3"/>
      <x:c r="B13" s="20" t="str">
        <x:v>Team members</x:v>
      </x:c>
      <x:c r="C13" s="21" t="n">
        <x:v>7</x:v>
      </x:c>
      <x:c r="D13" s="20" t="str">
        <x:v>Assumption</x:v>
      </x:c>
      <x:c r="E13" s="20" t="str"/>
      <x:c r="F13" s="20" t="str">
        <x:v>Named team, role approval pending</x:v>
      </x:c>
    </x:row>
    <x:row r="14" ht="30" customHeight="1">
      <x:c r="A14" s="3"/>
      <x:c r="B14" s="20" t="str">
        <x:v>Hours / person / week</x:v>
      </x:c>
      <x:c r="C14" s="21" t="n">
        <x:v>2</x:v>
      </x:c>
      <x:c r="D14" s="20" t="str">
        <x:v>Assumption</x:v>
      </x:c>
      <x:c r="E14" s="20" t="str"/>
      <x:c r="F14" s="20" t="str">
        <x:v>No timesheets claimed</x:v>
      </x:c>
    </x:row>
    <x:row r="15" ht="30" customHeight="1">
      <x:c r="A15" s="3"/>
      <x:c r="B15" s="20" t="str">
        <x:v>Operating weeks</x:v>
      </x:c>
      <x:c r="C15" s="21" t="n">
        <x:v>4</x:v>
      </x:c>
      <x:c r="D15" s="20" t="str">
        <x:v>Assumption</x:v>
      </x:c>
      <x:c r="E15" s="20" t="str"/>
      <x:c r="F15" s="20" t="str">
        <x:v>Same pilot window</x:v>
      </x:c>
    </x:row>
    <x:row r="16" ht="30" customHeight="1">
      <x:c r="A16" s="3"/>
      <x:c r="B16" s="20" t="str">
        <x:v>Value per labour hour</x:v>
      </x:c>
      <x:c r="C16" s="29" t="n">
        <x:v>20</x:v>
      </x:c>
      <x:c r="D16" s="20" t="str">
        <x:v>Assumption</x:v>
      </x:c>
      <x:c r="E16" s="20" t="str"/>
      <x:c r="F16" s="20" t="str">
        <x:v>Opportunity cost, not wage payable</x:v>
      </x:c>
    </x:row>
    <x:row r="17" ht="30" customHeight="1">
      <x:c r="A17" s="3"/>
      <x:c r="B17" s="20" t="str">
        <x:v>Labour opportunity cost</x:v>
      </x:c>
      <x:c r="C17" s="30" t="n">
        <x:f>C13*C14*C15*C16</x:f>
        <x:v>1120</x:v>
      </x:c>
      <x:c r="D17" s="20"/>
      <x:c r="E17" s="20"/>
      <x:c r="F17" s="20"/>
    </x:row>
    <x:row r="18" ht="30" customHeight="1">
      <x:c r="A18" s="3"/>
      <x:c r="B18" s="20" t="str">
        <x:v>Total economic cost</x:v>
      </x:c>
      <x:c r="C18" s="30" t="n">
        <x:f>C11+C17</x:f>
        <x:v>1300</x:v>
      </x:c>
      <x:c r="D18" s="20"/>
      <x:c r="E18" s="20"/>
      <x:c r="F18" s="20"/>
    </x:row>
    <x:row r="19" ht="30" customHeight="1">
      <x:c r="A19" s="3"/>
      <x:c r="B19" s="20" t="str">
        <x:v>Team hours</x:v>
      </x:c>
      <x:c r="C19" s="20" t="n">
        <x:f>C13*C14*C15</x:f>
        <x:v>56</x:v>
      </x:c>
      <x:c r="D19" s="20"/>
      <x:c r="E19" s="20"/>
      <x:c r="F19" s="20"/>
    </x:row>
    <x:row r="20" ht="30" customHeight="1">
      <x:c r="A20" s="3"/>
      <x:c r="B20" s="3"/>
      <x:c r="C20" s="3"/>
      <x:c r="D20" s="3"/>
      <x:c r="E20" s="3"/>
      <x:c r="F20" s="3"/>
    </x:row>
    <x:row r="21" ht="30" customHeight="1">
      <x:c r="A21" s="3"/>
      <x:c r="B21" s="3" t="str">
        <x:v>No actual spending, wages, revenue or signed funding is asserted. Cash contribution differs from economic contribution. Keep invoices, consented real-user counts and actual operating records before replacing these assumptions with evidence.</x:v>
      </x:c>
      <x:c r="C21" s="3"/>
      <x:c r="D21" s="3"/>
      <x:c r="E21" s="3"/>
      <x:c r="F21" s="3"/>
    </x:row>
    <x:row r="22" ht="30" customHeight="1">
      <x:c r="A22" s="3"/>
      <x:c r="B22" s="3"/>
      <x:c r="C22" s="3"/>
      <x:c r="D22" s="3"/>
      <x:c r="E22" s="3"/>
      <x:c r="F22" s="3"/>
    </x:row>
    <x:row r="23" ht="30" customHeight="1">
      <x:c r="A23" s="3"/>
      <x:c r="B23" s="3"/>
      <x:c r="C23" s="3"/>
      <x:c r="D23" s="3"/>
      <x:c r="E23" s="3"/>
      <x:c r="F23" s="3"/>
    </x:row>
    <x:row r="24" ht="30" customHeight="1">
      <x:c r="A24" s="3"/>
      <x:c r="B24" s="3"/>
      <x:c r="C24" s="3"/>
      <x:c r="D24" s="3"/>
      <x:c r="E24" s="3"/>
      <x:c r="F24" s="3"/>
    </x:row>
    <x:row r="25" ht="30" customHeight="1">
      <x:c r="A25" s="3"/>
      <x:c r="B25" s="3"/>
      <x:c r="C25" s="3"/>
      <x:c r="D25" s="3"/>
      <x:c r="E25" s="3"/>
      <x:c r="F25" s="3"/>
    </x:row>
  </x:sheetData>
  <x:mergeCells>
    <x:mergeCell ref="B2:F2"/>
    <x:mergeCell ref="B3:F3"/>
    <x:mergeCell ref="B21:F23"/>
  </x:mergeCells>
  <x:pageMargins left="0.7" right="0.7" top="0.75" bottom="0.75" header="0.3" footer="0.3"/>
</x:worksheet>
</file>