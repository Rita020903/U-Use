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58d52145e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" sheetId="1" r:id="Re23bd854ad744ab8"/>
    <x:sheet xmlns:r="http://schemas.openxmlformats.org/officeDocument/2006/relationships" name="Assumptions" sheetId="2" r:id="R15a5ef02621443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-&quot;"/>
    <x:numFmt numFmtId="201" formatCode="0.0%"/>
    <x:numFmt numFmtId="202" formatCode="0"/>
    <x:numFmt numFmtId="203" formatCode="#,##0"/>
    <x:numFmt numFmtId="204" formatCode="#,##0;(#,##0);&quot;-&quot;"/>
  </x:numFmts>
  <x:fonts count="7">
    <x:font>
      <x:sz val="11"/>
      <x:name val="Carlito"/>
    </x:font>
    <x:font>
      <x:sz val="11"/>
      <x:name val="Arial"/>
    </x:font>
    <x:font>
      <x:sz val="16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sz val="11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634D"/>
      </x:patternFill>
    </x:fill>
    <x:fill>
      <x:patternFill patternType="solid">
        <x:fgColor rgb="FFE6EEE8"/>
      </x:patternFill>
    </x:fill>
  </x:fills>
  <x:borders count="2">
    <x:border>
      <x:left/>
      <x:right/>
      <x:top/>
      <x:bottom/>
      <x:diagonal/>
    </x:border>
    <x:border>
      <x:left style="thin">
        <x:color rgb="FFCFD9D2"/>
      </x:left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2" fontId="6" fillId="0" borderId="0" xfId="0" applyNumberFormat="1" applyFont="1" applyFill="1" applyBorder="1" applyAlignment="1">
      <x:alignment horizontal="right" vertical="center"/>
    </x:xf>
    <x:xf numFmtId="203" fontId="6" fillId="0" borderId="0" xfId="0" applyNumberFormat="1" applyFont="1" applyFill="1" applyBorder="1" applyAlignment="1">
      <x:alignment horizontal="right" vertical="center"/>
    </x:xf>
    <x:xf numFmtId="203" fontId="5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0" fontId="4" fillId="2" borderId="1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4" fontId="1" fillId="0" borderId="1" xfId="0" applyNumberFormat="1" applyFont="1" applyFill="1" applyBorder="1" applyAlignment="1">
      <x:alignment horizontal="right" vertical="center"/>
    </x:xf>
    <x:xf numFmtId="200" fontId="5" fillId="3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color rgb="FFA32D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d6a735a284269" /><Relationship Type="http://schemas.openxmlformats.org/officeDocument/2006/relationships/theme" Target="/xl/theme/theme1.xml" Id="R32830eb8cbd34829" /><Relationship Type="http://schemas.openxmlformats.org/officeDocument/2006/relationships/sharedStrings" Target="/xl/sharedStrings.xml" Id="R69bf75d905224797" /><Relationship Type="http://schemas.openxmlformats.org/officeDocument/2006/relationships/worksheet" Target="/xl/worksheets/sheet1.xml" Id="Re23bd854ad744ab8" /><Relationship Type="http://schemas.openxmlformats.org/officeDocument/2006/relationships/worksheet" Target="/xl/worksheets/sheet2.xml" Id="R15a5ef02621443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4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" hidden="0" customWidth="1"/>
    <x:col min="11" max="11" width="76" hidden="0" customWidth="1"/>
  </x:cols>
  <x:sheetData>
    <x:row r="1" ht="25" customHeight="1">
      <x:c r="A1" s="1"/>
      <x:c r="B1" s="2"/>
      <x:c r="C1" s="4"/>
      <x:c r="D1" s="4"/>
      <x:c r="E1" s="4"/>
      <x:c r="F1" s="4"/>
      <x:c r="G1" s="4"/>
      <x:c r="H1" s="4"/>
      <x:c r="I1" s="4"/>
      <x:c r="J1" s="2"/>
      <x:c r="K1" s="2"/>
      <x:c r="L1" s="1"/>
    </x:row>
    <x:row r="2" ht="25" customHeight="1">
      <x:c r="A2" s="1"/>
      <x:c r="B2" s="5" t="str">
        <x:v>U Use six-month forecast (CNY)</x:v>
      </x:c>
      <x:c r="C2" s="4"/>
      <x:c r="D2" s="4"/>
      <x:c r="E2" s="4"/>
      <x:c r="F2" s="4"/>
      <x:c r="G2" s="4"/>
      <x:c r="H2" s="4"/>
      <x:c r="I2" s="4"/>
      <x:c r="J2" s="2"/>
      <x:c r="K2" s="2"/>
      <x:c r="L2" s="1"/>
    </x:row>
    <x:row r="3" ht="25" customHeight="1">
      <x:c r="A3" s="1"/>
      <x:c r="B3" s="2" t="str">
        <x:v>Planning case selected</x:v>
      </x:c>
      <x:c r="C3" s="4" t="str">
        <x:f>CHOOSE(Assumptions!C3,"Base","Downside")</x:f>
        <x:v>Base</x:v>
      </x:c>
      <x:c r="D3" s="4"/>
      <x:c r="E3" s="4"/>
      <x:c r="F3" s="4"/>
      <x:c r="G3" s="4"/>
      <x:c r="H3" s="4"/>
      <x:c r="I3" s="4"/>
      <x:c r="J3" s="2"/>
      <x:c r="K3" s="2" t="str">
        <x:v>All periods are forecasts as of 20 Oct 2026. Replace with actuals.</x:v>
      </x:c>
      <x:c r="L3" s="1"/>
    </x:row>
    <x:row r="4" ht="25" customHeight="1">
      <x:c r="A4" s="1"/>
      <x:c r="B4" s="2"/>
      <x:c r="C4" s="4"/>
      <x:c r="D4" s="4"/>
      <x:c r="E4" s="4"/>
      <x:c r="F4" s="4"/>
      <x:c r="G4" s="4"/>
      <x:c r="H4" s="4"/>
      <x:c r="I4" s="4"/>
      <x:c r="J4" s="2"/>
      <x:c r="K4" s="2"/>
      <x:c r="L4" s="1"/>
    </x:row>
    <x:row r="5" ht="25" customHeight="1">
      <x:c r="A5" s="1"/>
      <x:c r="B5" s="10"/>
      <x:c r="C5" s="11" t="str">
        <x:v>Nov 2026</x:v>
      </x:c>
      <x:c r="D5" s="11" t="str">
        <x:v>Dec 2026</x:v>
      </x:c>
      <x:c r="E5" s="11" t="str">
        <x:v>Jan 2027</x:v>
      </x:c>
      <x:c r="F5" s="11" t="str">
        <x:v>Feb 2027</x:v>
      </x:c>
      <x:c r="G5" s="11" t="str">
        <x:v>Mar 2027</x:v>
      </x:c>
      <x:c r="H5" s="11" t="str">
        <x:v>Apr 2027</x:v>
      </x:c>
      <x:c r="I5" s="24" t="str">
        <x:v>6 months</x:v>
      </x:c>
      <x:c r="J5" s="2"/>
      <x:c r="K5" s="2"/>
      <x:c r="L5" s="1"/>
    </x:row>
    <x:row r="6" ht="25" customHeight="1">
      <x:c r="A6" s="1"/>
      <x:c r="B6" s="2"/>
      <x:c r="C6" s="4"/>
      <x:c r="D6" s="4"/>
      <x:c r="E6" s="4"/>
      <x:c r="F6" s="4"/>
      <x:c r="G6" s="4"/>
      <x:c r="H6" s="4"/>
      <x:c r="I6" s="25"/>
      <x:c r="J6" s="2"/>
      <x:c r="K6" s="2"/>
      <x:c r="L6" s="1"/>
    </x:row>
    <x:row r="7" ht="25" customHeight="1">
      <x:c r="A7" s="1"/>
      <x:c r="B7" s="2" t="str">
        <x:v>Completed requests</x:v>
      </x:c>
      <x:c r="C7" s="23" t="n">
        <x:f>Assumptions!C12</x:f>
        <x:v>2</x:v>
      </x:c>
      <x:c r="D7" s="23" t="n">
        <x:f>Assumptions!D12</x:f>
        <x:v>4</x:v>
      </x:c>
      <x:c r="E7" s="23" t="n">
        <x:f>Assumptions!E12</x:f>
        <x:v>6</x:v>
      </x:c>
      <x:c r="F7" s="23" t="n">
        <x:f>Assumptions!F12</x:f>
        <x:v>8</x:v>
      </x:c>
      <x:c r="G7" s="23" t="n">
        <x:f>Assumptions!G12</x:f>
        <x:v>8</x:v>
      </x:c>
      <x:c r="H7" s="23" t="n">
        <x:f>Assumptions!H12</x:f>
        <x:v>10</x:v>
      </x:c>
      <x:c r="I7" s="26" t="n">
        <x:f>SUM(C7:H7)</x:f>
        <x:v>38</x:v>
      </x:c>
      <x:c r="J7" s="2"/>
      <x:c r="K7" s="2" t="str">
        <x:v>38 completions in Base are not 38 people or actual uptake.</x:v>
      </x:c>
      <x:c r="L7" s="1"/>
    </x:row>
    <x:row r="8" ht="25" customHeight="1">
      <x:c r="A8" s="1"/>
      <x:c r="B8" s="2" t="str">
        <x:v>Fee-bearing share</x:v>
      </x:c>
      <x:c r="C8" s="22" t="n">
        <x:f>Assumptions!C16</x:f>
        <x:v>0.5</x:v>
      </x:c>
      <x:c r="D8" s="22" t="n">
        <x:f>Assumptions!D16</x:f>
        <x:v>0.5</x:v>
      </x:c>
      <x:c r="E8" s="22" t="n">
        <x:f>Assumptions!E16</x:f>
        <x:v>0.5</x:v>
      </x:c>
      <x:c r="F8" s="22" t="n">
        <x:f>Assumptions!F16</x:f>
        <x:v>0.5</x:v>
      </x:c>
      <x:c r="G8" s="22" t="n">
        <x:f>Assumptions!G16</x:f>
        <x:v>0.5</x:v>
      </x:c>
      <x:c r="H8" s="22" t="n">
        <x:f>Assumptions!H16</x:f>
        <x:v>0.5</x:v>
      </x:c>
      <x:c r="I8" s="25" t="str">
        <x:v>n.a.</x:v>
      </x:c>
      <x:c r="J8" s="2"/>
      <x:c r="K8" s="2"/>
      <x:c r="L8" s="1"/>
    </x:row>
    <x:row r="9" ht="25" customHeight="1">
      <x:c r="A9" s="1"/>
      <x:c r="B9" s="2" t="str">
        <x:v>Paid requests, expected</x:v>
      </x:c>
      <x:c r="C9" s="4" t="n">
        <x:f>C7*C8</x:f>
        <x:v>1</x:v>
      </x:c>
      <x:c r="D9" s="4" t="n">
        <x:f>D7*D8</x:f>
        <x:v>2</x:v>
      </x:c>
      <x:c r="E9" s="4" t="n">
        <x:f>E7*E8</x:f>
        <x:v>3</x:v>
      </x:c>
      <x:c r="F9" s="4" t="n">
        <x:f>F7*F8</x:f>
        <x:v>4</x:v>
      </x:c>
      <x:c r="G9" s="4" t="n">
        <x:f>G7*G8</x:f>
        <x:v>4</x:v>
      </x:c>
      <x:c r="H9" s="4" t="n">
        <x:f>H7*H8</x:f>
        <x:v>5</x:v>
      </x:c>
      <x:c r="I9" s="25" t="n">
        <x:f>SUM(C9:H9)</x:f>
        <x:v>19</x:v>
      </x:c>
      <x:c r="J9" s="2"/>
      <x:c r="K9" s="2"/>
      <x:c r="L9" s="1"/>
    </x:row>
    <x:row r="10" ht="25" customHeight="1">
      <x:c r="A10" s="1"/>
      <x:c r="B10" s="2" t="str">
        <x:v>Consideration per paid request</x:v>
      </x:c>
      <x:c r="C10" s="4" t="n">
        <x:f>Assumptions!C20</x:f>
        <x:v>20</x:v>
      </x:c>
      <x:c r="D10" s="4" t="n">
        <x:f>Assumptions!D20</x:f>
        <x:v>20</x:v>
      </x:c>
      <x:c r="E10" s="4" t="n">
        <x:f>Assumptions!E20</x:f>
        <x:v>20</x:v>
      </x:c>
      <x:c r="F10" s="4" t="n">
        <x:f>Assumptions!F20</x:f>
        <x:v>20</x:v>
      </x:c>
      <x:c r="G10" s="4" t="n">
        <x:f>Assumptions!G20</x:f>
        <x:v>20</x:v>
      </x:c>
      <x:c r="H10" s="4" t="n">
        <x:f>Assumptions!H20</x:f>
        <x:v>20</x:v>
      </x:c>
      <x:c r="I10" s="25" t="str">
        <x:v>n.a.</x:v>
      </x:c>
      <x:c r="J10" s="2"/>
      <x:c r="K10" s="2"/>
      <x:c r="L10" s="1"/>
    </x:row>
    <x:row r="11" ht="25" customHeight="1">
      <x:c r="A11" s="1"/>
      <x:c r="B11" s="2" t="str">
        <x:v>Paid GMV</x:v>
      </x:c>
      <x:c r="C11" s="4" t="n">
        <x:f>C9*C10</x:f>
        <x:v>20</x:v>
      </x:c>
      <x:c r="D11" s="4" t="n">
        <x:f>D9*D10</x:f>
        <x:v>40</x:v>
      </x:c>
      <x:c r="E11" s="4" t="n">
        <x:f>E9*E10</x:f>
        <x:v>60</x:v>
      </x:c>
      <x:c r="F11" s="4" t="n">
        <x:f>F9*F10</x:f>
        <x:v>80</x:v>
      </x:c>
      <x:c r="G11" s="4" t="n">
        <x:f>G9*G10</x:f>
        <x:v>80</x:v>
      </x:c>
      <x:c r="H11" s="4" t="n">
        <x:f>H9*H10</x:f>
        <x:v>100</x:v>
      </x:c>
      <x:c r="I11" s="25" t="n">
        <x:f>SUM(C11:H11)</x:f>
        <x:v>380</x:v>
      </x:c>
      <x:c r="J11" s="2"/>
      <x:c r="K11" s="2"/>
      <x:c r="L11" s="1"/>
    </x:row>
    <x:row r="12" ht="25" customHeight="1">
      <x:c r="A12" s="1"/>
      <x:c r="B12" s="2" t="str">
        <x:v>Platform fee rate</x:v>
      </x:c>
      <x:c r="C12" s="22" t="n">
        <x:f>Assumptions!C24</x:f>
        <x:v>0</x:v>
      </x:c>
      <x:c r="D12" s="22" t="n">
        <x:f>Assumptions!D24</x:f>
        <x:v>0</x:v>
      </x:c>
      <x:c r="E12" s="22" t="n">
        <x:f>Assumptions!E24</x:f>
        <x:v>0</x:v>
      </x:c>
      <x:c r="F12" s="22" t="n">
        <x:f>Assumptions!F24</x:f>
        <x:v>0.05</x:v>
      </x:c>
      <x:c r="G12" s="22" t="n">
        <x:f>Assumptions!G24</x:f>
        <x:v>0.05</x:v>
      </x:c>
      <x:c r="H12" s="22" t="n">
        <x:f>Assumptions!H24</x:f>
        <x:v>0.05</x:v>
      </x:c>
      <x:c r="I12" s="25" t="str">
        <x:v>n.a.</x:v>
      </x:c>
      <x:c r="J12" s="2"/>
      <x:c r="K12" s="2"/>
      <x:c r="L12" s="1"/>
    </x:row>
    <x:row r="13" ht="25" customHeight="1">
      <x:c r="A13" s="1"/>
      <x:c r="B13" s="14" t="str">
        <x:v>Platform fee revenue</x:v>
      </x:c>
      <x:c r="C13" s="15" t="n">
        <x:f>C11*C12</x:f>
        <x:v>0</x:v>
      </x:c>
      <x:c r="D13" s="15" t="n">
        <x:f>D11*D12</x:f>
        <x:v>0</x:v>
      </x:c>
      <x:c r="E13" s="15" t="n">
        <x:f>E11*E12</x:f>
        <x:v>0</x:v>
      </x:c>
      <x:c r="F13" s="15" t="n">
        <x:f>F11*F12</x:f>
        <x:v>4</x:v>
      </x:c>
      <x:c r="G13" s="15" t="n">
        <x:f>G11*G12</x:f>
        <x:v>4</x:v>
      </x:c>
      <x:c r="H13" s="15" t="n">
        <x:f>H11*H12</x:f>
        <x:v>5</x:v>
      </x:c>
      <x:c r="I13" s="27" t="n">
        <x:f>SUM(C13:H13)</x:f>
        <x:v>13</x:v>
      </x:c>
      <x:c r="J13" s="2"/>
      <x:c r="K13" s="2"/>
      <x:c r="L13" s="1"/>
    </x:row>
    <x:row r="14" ht="25" customHeight="1">
      <x:c r="A14" s="1"/>
      <x:c r="B14" s="2" t="str">
        <x:v>Variable cash per completion</x:v>
      </x:c>
      <x:c r="C14" s="4" t="n">
        <x:f>Assumptions!C32</x:f>
        <x:v>0</x:v>
      </x:c>
      <x:c r="D14" s="4" t="n">
        <x:f>Assumptions!D32</x:f>
        <x:v>0.2</x:v>
      </x:c>
      <x:c r="E14" s="4" t="n">
        <x:f>Assumptions!E32</x:f>
        <x:v>0.2</x:v>
      </x:c>
      <x:c r="F14" s="4" t="n">
        <x:f>Assumptions!F32</x:f>
        <x:v>0.2</x:v>
      </x:c>
      <x:c r="G14" s="4" t="n">
        <x:f>Assumptions!G32</x:f>
        <x:v>0.2</x:v>
      </x:c>
      <x:c r="H14" s="4" t="n">
        <x:f>Assumptions!H32</x:f>
        <x:v>0.2</x:v>
      </x:c>
      <x:c r="I14" s="25" t="str">
        <x:v>n.a.</x:v>
      </x:c>
      <x:c r="J14" s="2"/>
      <x:c r="K14" s="2"/>
      <x:c r="L14" s="1"/>
    </x:row>
    <x:row r="15" ht="25" customHeight="1">
      <x:c r="A15" s="1"/>
      <x:c r="B15" s="2" t="str">
        <x:v>Variable cash cost</x:v>
      </x:c>
      <x:c r="C15" s="4" t="n">
        <x:f>C7*C14</x:f>
        <x:v>0</x:v>
      </x:c>
      <x:c r="D15" s="4" t="n">
        <x:f>D7*D14</x:f>
        <x:v>0.8</x:v>
      </x:c>
      <x:c r="E15" s="4" t="n">
        <x:f>E7*E14</x:f>
        <x:v>1.2000000000000002</x:v>
      </x:c>
      <x:c r="F15" s="4" t="n">
        <x:f>F7*F14</x:f>
        <x:v>1.6</x:v>
      </x:c>
      <x:c r="G15" s="4" t="n">
        <x:f>G7*G14</x:f>
        <x:v>1.6</x:v>
      </x:c>
      <x:c r="H15" s="4" t="n">
        <x:f>H7*H14</x:f>
        <x:v>2</x:v>
      </x:c>
      <x:c r="I15" s="25" t="n">
        <x:f>SUM(C15:H15)</x:f>
        <x:v>7.2</x:v>
      </x:c>
      <x:c r="J15" s="2"/>
      <x:c r="K15" s="2"/>
      <x:c r="L15" s="1"/>
    </x:row>
    <x:row r="16" ht="25" customHeight="1">
      <x:c r="A16" s="1"/>
      <x:c r="B16" s="2" t="str">
        <x:v>Fixed cash budget</x:v>
      </x:c>
      <x:c r="C16" s="4" t="n">
        <x:f>Assumptions!C28</x:f>
        <x:v>180</x:v>
      </x:c>
      <x:c r="D16" s="4" t="n">
        <x:f>Assumptions!D28</x:f>
        <x:v>100</x:v>
      </x:c>
      <x:c r="E16" s="4" t="n">
        <x:f>Assumptions!E28</x:f>
        <x:v>100</x:v>
      </x:c>
      <x:c r="F16" s="4" t="n">
        <x:f>Assumptions!F28</x:f>
        <x:v>100</x:v>
      </x:c>
      <x:c r="G16" s="4" t="n">
        <x:f>Assumptions!G28</x:f>
        <x:v>100</x:v>
      </x:c>
      <x:c r="H16" s="4" t="n">
        <x:f>Assumptions!H28</x:f>
        <x:v>100</x:v>
      </x:c>
      <x:c r="I16" s="25" t="n">
        <x:f>SUM(C16:H16)</x:f>
        <x:v>680</x:v>
      </x:c>
      <x:c r="J16" s="2"/>
      <x:c r="K16" s="2"/>
      <x:c r="L16" s="1"/>
    </x:row>
    <x:row r="17" ht="25" customHeight="1">
      <x:c r="A17" s="1"/>
      <x:c r="B17" s="2"/>
      <x:c r="C17" s="4"/>
      <x:c r="D17" s="4"/>
      <x:c r="E17" s="4"/>
      <x:c r="F17" s="4"/>
      <x:c r="G17" s="4"/>
      <x:c r="H17" s="4"/>
      <x:c r="I17" s="25"/>
      <x:c r="J17" s="2"/>
      <x:c r="K17" s="2"/>
      <x:c r="L17" s="1"/>
    </x:row>
    <x:row r="18" ht="25" customHeight="1">
      <x:c r="A18" s="1"/>
      <x:c r="B18" s="14" t="str">
        <x:v>Cash operating result before tax</x:v>
      </x:c>
      <x:c r="C18" s="15" t="n">
        <x:f>C13-C15-C16</x:f>
        <x:v>-180</x:v>
      </x:c>
      <x:c r="D18" s="15" t="n">
        <x:f>D13-D15-D16</x:f>
        <x:v>-100.8</x:v>
      </x:c>
      <x:c r="E18" s="15" t="n">
        <x:f>E13-E15-E16</x:f>
        <x:v>-101.2</x:v>
      </x:c>
      <x:c r="F18" s="15" t="n">
        <x:f>F13-F15-F16</x:f>
        <x:v>-97.6</x:v>
      </x:c>
      <x:c r="G18" s="15" t="n">
        <x:f>G13-G15-G16</x:f>
        <x:v>-97.6</x:v>
      </x:c>
      <x:c r="H18" s="15" t="n">
        <x:f>H13-H15-H16</x:f>
        <x:v>-97</x:v>
      </x:c>
      <x:c r="I18" s="27" t="n">
        <x:f>SUM(C18:H18)</x:f>
        <x:v>-674.2</x:v>
      </x:c>
      <x:c r="J18" s="2"/>
      <x:c r="K18" s="2" t="str">
        <x:v>Cash proxy, before tax/capex, team time and unpriced losses.</x:v>
      </x:c>
      <x:c r="L18" s="1"/>
    </x:row>
    <x:row r="19" ht="25" customHeight="1">
      <x:c r="A19" s="1"/>
      <x:c r="B19" s="2"/>
      <x:c r="C19" s="4"/>
      <x:c r="D19" s="4"/>
      <x:c r="E19" s="4"/>
      <x:c r="F19" s="4"/>
      <x:c r="G19" s="4"/>
      <x:c r="H19" s="4"/>
      <x:c r="I19" s="25"/>
      <x:c r="J19" s="2"/>
      <x:c r="K19" s="2"/>
      <x:c r="L19" s="1"/>
    </x:row>
    <x:row r="20" ht="25" customHeight="1">
      <x:c r="A20" s="1"/>
      <x:c r="B20" s="2" t="str">
        <x:v>Team hours, unpaid</x:v>
      </x:c>
      <x:c r="C20" s="23" t="n">
        <x:f>Assumptions!C36</x:f>
        <x:v>56</x:v>
      </x:c>
      <x:c r="D20" s="23" t="n">
        <x:f>Assumptions!D36</x:f>
        <x:v>28</x:v>
      </x:c>
      <x:c r="E20" s="23" t="n">
        <x:f>Assumptions!E36</x:f>
        <x:v>28</x:v>
      </x:c>
      <x:c r="F20" s="23" t="n">
        <x:f>Assumptions!F36</x:f>
        <x:v>28</x:v>
      </x:c>
      <x:c r="G20" s="23" t="n">
        <x:f>Assumptions!G36</x:f>
        <x:v>28</x:v>
      </x:c>
      <x:c r="H20" s="23" t="n">
        <x:f>Assumptions!H36</x:f>
        <x:v>28</x:v>
      </x:c>
      <x:c r="I20" s="26" t="n">
        <x:f>SUM(C20:H20)</x:f>
        <x:v>196</x:v>
      </x:c>
      <x:c r="J20" s="2"/>
      <x:c r="K20" s="2"/>
      <x:c r="L20" s="1"/>
    </x:row>
    <x:row r="21" ht="25" customHeight="1">
      <x:c r="A21" s="1"/>
      <x:c r="B21" s="2" t="str">
        <x:v>Assumed value per hour</x:v>
      </x:c>
      <x:c r="C21" s="4" t="n">
        <x:f>Assumptions!C40</x:f>
        <x:v>20</x:v>
      </x:c>
      <x:c r="D21" s="4" t="n">
        <x:f>Assumptions!D40</x:f>
        <x:v>20</x:v>
      </x:c>
      <x:c r="E21" s="4" t="n">
        <x:f>Assumptions!E40</x:f>
        <x:v>20</x:v>
      </x:c>
      <x:c r="F21" s="4" t="n">
        <x:f>Assumptions!F40</x:f>
        <x:v>20</x:v>
      </x:c>
      <x:c r="G21" s="4" t="n">
        <x:f>Assumptions!G40</x:f>
        <x:v>20</x:v>
      </x:c>
      <x:c r="H21" s="4" t="n">
        <x:f>Assumptions!H40</x:f>
        <x:v>20</x:v>
      </x:c>
      <x:c r="I21" s="25" t="str">
        <x:v>n.a.</x:v>
      </x:c>
      <x:c r="J21" s="2"/>
      <x:c r="K21" s="2"/>
      <x:c r="L21" s="1"/>
    </x:row>
    <x:row r="22" ht="25" customHeight="1">
      <x:c r="A22" s="1"/>
      <x:c r="B22" s="2" t="str">
        <x:v>Opportunity cost of team time</x:v>
      </x:c>
      <x:c r="C22" s="4" t="n">
        <x:f>C20*C21</x:f>
        <x:v>1120</x:v>
      </x:c>
      <x:c r="D22" s="4" t="n">
        <x:f>D20*D21</x:f>
        <x:v>560</x:v>
      </x:c>
      <x:c r="E22" s="4" t="n">
        <x:f>E20*E21</x:f>
        <x:v>560</x:v>
      </x:c>
      <x:c r="F22" s="4" t="n">
        <x:f>F20*F21</x:f>
        <x:v>560</x:v>
      </x:c>
      <x:c r="G22" s="4" t="n">
        <x:f>G20*G21</x:f>
        <x:v>560</x:v>
      </x:c>
      <x:c r="H22" s="4" t="n">
        <x:f>H20*H21</x:f>
        <x:v>560</x:v>
      </x:c>
      <x:c r="I22" s="25" t="n">
        <x:f>SUM(C22:H22)</x:f>
        <x:v>3920</x:v>
      </x:c>
      <x:c r="J22" s="2"/>
      <x:c r="K22" s="2"/>
      <x:c r="L22" s="1"/>
    </x:row>
    <x:row r="23" ht="25" customHeight="1">
      <x:c r="A23" s="1"/>
      <x:c r="B23" s="14" t="str">
        <x:v>Result including assumed team time</x:v>
      </x:c>
      <x:c r="C23" s="15" t="n">
        <x:f>C18-C22</x:f>
        <x:v>-1300</x:v>
      </x:c>
      <x:c r="D23" s="15" t="n">
        <x:f>D18-D22</x:f>
        <x:v>-660.8</x:v>
      </x:c>
      <x:c r="E23" s="15" t="n">
        <x:f>E18-E22</x:f>
        <x:v>-661.2</x:v>
      </x:c>
      <x:c r="F23" s="15" t="n">
        <x:f>F18-F22</x:f>
        <x:v>-657.6</x:v>
      </x:c>
      <x:c r="G23" s="15" t="n">
        <x:f>G18-G22</x:f>
        <x:v>-657.6</x:v>
      </x:c>
      <x:c r="H23" s="15" t="n">
        <x:f>H18-H22</x:f>
        <x:v>-657</x:v>
      </x:c>
      <x:c r="I23" s="27" t="n">
        <x:f>SUM(C23:H23)</x:f>
        <x:v>-4594.2</x:v>
      </x:c>
      <x:c r="J23" s="2"/>
      <x:c r="K23" s="2" t="str">
        <x:v>Opportunity cost is separate. No payroll or investor returns assumed.</x:v>
      </x:c>
      <x:c r="L23" s="1"/>
    </x:row>
    <x:row r="24" ht="25" customHeight="1">
      <x:c r="A24" s="1"/>
      <x:c r="B24" s="2"/>
      <x:c r="C24" s="4"/>
      <x:c r="D24" s="4"/>
      <x:c r="E24" s="4"/>
      <x:c r="F24" s="4"/>
      <x:c r="G24" s="4"/>
      <x:c r="H24" s="4"/>
      <x:c r="I24" s="25"/>
      <x:c r="J24" s="2"/>
      <x:c r="K24" s="2"/>
      <x:c r="L24" s="1"/>
    </x:row>
    <x:row r="25" ht="25" customHeight="1">
      <x:c r="A25" s="1"/>
      <x:c r="B25" s="2" t="str">
        <x:v>Opening cash</x:v>
      </x:c>
      <x:c r="C25" s="4" t="n">
        <x:v>0</x:v>
      </x:c>
      <x:c r="D25" s="4" t="n">
        <x:f>C27</x:f>
        <x:v>20</x:v>
      </x:c>
      <x:c r="E25" s="4" t="n">
        <x:f>D27</x:f>
        <x:v>619.2</x:v>
      </x:c>
      <x:c r="F25" s="4" t="n">
        <x:f>E27</x:f>
        <x:v>518</x:v>
      </x:c>
      <x:c r="G25" s="4" t="n">
        <x:f>F27</x:f>
        <x:v>420.4</x:v>
      </x:c>
      <x:c r="H25" s="4" t="n">
        <x:f>G27</x:f>
        <x:v>322.79999999999995</x:v>
      </x:c>
      <x:c r="I25" s="25" t="n">
        <x:f>C25</x:f>
        <x:v>0</x:v>
      </x:c>
      <x:c r="J25" s="2"/>
      <x:c r="K25" s="2"/>
      <x:c r="L25" s="1"/>
    </x:row>
    <x:row r="26" ht="25" customHeight="1">
      <x:c r="A26" s="1"/>
      <x:c r="B26" s="2" t="str">
        <x:v>Conditional funding receipts</x:v>
      </x:c>
      <x:c r="C26" s="4" t="n">
        <x:f>Assumptions!C7</x:f>
        <x:v>200</x:v>
      </x:c>
      <x:c r="D26" s="4" t="n">
        <x:f>Assumptions!C8</x:f>
        <x:v>700</x:v>
      </x:c>
      <x:c r="E26" s="4" t="n">
        <x:v>0</x:v>
      </x:c>
      <x:c r="F26" s="4" t="n">
        <x:v>0</x:v>
      </x:c>
      <x:c r="G26" s="4" t="n">
        <x:v>0</x:v>
      </x:c>
      <x:c r="H26" s="4" t="n">
        <x:v>0</x:v>
      </x:c>
      <x:c r="I26" s="25" t="n">
        <x:f>SUM(C26:H26)</x:f>
        <x:v>900</x:v>
      </x:c>
      <x:c r="J26" s="2"/>
      <x:c r="K26" s="2" t="str">
        <x:v>Funding is financing, never trading revenue. No funder is committed.</x:v>
      </x:c>
      <x:c r="L26" s="1"/>
    </x:row>
    <x:row r="27" ht="25" customHeight="1">
      <x:c r="A27" s="1"/>
      <x:c r="B27" s="14" t="str">
        <x:v>Closing cash</x:v>
      </x:c>
      <x:c r="C27" s="15" t="n">
        <x:f>C25+C26+C18</x:f>
        <x:v>20</x:v>
      </x:c>
      <x:c r="D27" s="15" t="n">
        <x:f>D25+D26+D18</x:f>
        <x:v>619.2</x:v>
      </x:c>
      <x:c r="E27" s="15" t="n">
        <x:f>E25+E26+E18</x:f>
        <x:v>518</x:v>
      </x:c>
      <x:c r="F27" s="15" t="n">
        <x:f>F25+F26+F18</x:f>
        <x:v>420.4</x:v>
      </x:c>
      <x:c r="G27" s="15" t="n">
        <x:f>G25+G26+G18</x:f>
        <x:v>322.79999999999995</x:v>
      </x:c>
      <x:c r="H27" s="15" t="n">
        <x:f>H25+H26+H18</x:f>
        <x:v>225.79999999999995</x:v>
      </x:c>
      <x:c r="I27" s="27" t="n">
        <x:f>H27</x:f>
        <x:v>225.79999999999995</x:v>
      </x:c>
      <x:c r="J27" s="2"/>
      <x:c r="K27" s="2"/>
      <x:c r="L27" s="1"/>
    </x:row>
    <x:row r="28" ht="25" customHeight="1">
      <x:c r="A28" s="1"/>
      <x:c r="B28" s="2"/>
      <x:c r="C28" s="4"/>
      <x:c r="D28" s="4"/>
      <x:c r="E28" s="4"/>
      <x:c r="F28" s="4"/>
      <x:c r="G28" s="4"/>
      <x:c r="H28" s="4"/>
      <x:c r="I28" s="25"/>
      <x:c r="J28" s="2"/>
      <x:c r="K28" s="2"/>
      <x:c r="L28" s="1"/>
    </x:row>
    <x:row r="29" ht="25" customHeight="1">
      <x:c r="A29" s="1"/>
      <x:c r="B29" s="2" t="str">
        <x:v>Contribution per completed request</x:v>
      </x:c>
      <x:c r="C29" s="4" t="n">
        <x:f>C8*C10*C12-C14</x:f>
        <x:v>0</x:v>
      </x:c>
      <x:c r="D29" s="4" t="n">
        <x:f>D8*D10*D12-D14</x:f>
        <x:v>-0.2</x:v>
      </x:c>
      <x:c r="E29" s="4" t="n">
        <x:f>E8*E10*E12-E14</x:f>
        <x:v>-0.2</x:v>
      </x:c>
      <x:c r="F29" s="4" t="n">
        <x:f>F8*F10*F12-F14</x:f>
        <x:v>0.3</x:v>
      </x:c>
      <x:c r="G29" s="4" t="n">
        <x:f>G8*G10*G12-G14</x:f>
        <x:v>0.3</x:v>
      </x:c>
      <x:c r="H29" s="4" t="n">
        <x:f>H8*H10*H12-H14</x:f>
        <x:v>0.3</x:v>
      </x:c>
      <x:c r="I29" s="25" t="str">
        <x:v>n.a.</x:v>
      </x:c>
      <x:c r="J29" s="2"/>
      <x:c r="K29" s="2" t="str">
        <x:v>At a 5% fee and 50% paid mix, later unit contribution is only 0.30.</x:v>
      </x:c>
      <x:c r="L29" s="1"/>
    </x:row>
    <x:row r="30" ht="25" customHeight="1">
      <x:c r="A30" s="1"/>
      <x:c r="B30" s="2" t="str">
        <x:v>Cash break-even completions/month</x:v>
      </x:c>
      <x:c r="C30" s="23" t="str">
        <x:f>IF(C29&lt;=0,"n.a.",ROUNDUP(C16/C29,0))</x:f>
        <x:v>n.a.</x:v>
      </x:c>
      <x:c r="D30" s="23" t="str">
        <x:f>IF(D29&lt;=0,"n.a.",ROUNDUP(D16/D29,0))</x:f>
        <x:v>n.a.</x:v>
      </x:c>
      <x:c r="E30" s="23" t="str">
        <x:f>IF(E29&lt;=0,"n.a.",ROUNDUP(E16/E29,0))</x:f>
        <x:v>n.a.</x:v>
      </x:c>
      <x:c r="F30" s="23" t="n">
        <x:f>IF(F29&lt;=0,"n.a.",ROUNDUP(F16/F29,0))</x:f>
        <x:v>334</x:v>
      </x:c>
      <x:c r="G30" s="23" t="n">
        <x:f>IF(G29&lt;=0,"n.a.",ROUNDUP(G16/G29,0))</x:f>
        <x:v>334</x:v>
      </x:c>
      <x:c r="H30" s="23" t="n">
        <x:f>IF(H29&lt;=0,"n.a.",ROUNDUP(H16/H29,0))</x:f>
        <x:v>334</x:v>
      </x:c>
      <x:c r="I30" s="26" t="str">
        <x:v>n.a.</x:v>
      </x:c>
      <x:c r="J30" s="2"/>
      <x:c r="K30" s="2" t="str">
        <x:v>334 completions/month is a threshold, not a demand forecast.</x:v>
      </x:c>
      <x:c r="L30" s="1"/>
    </x:row>
    <x:row r="31" ht="25" customHeight="1">
      <x:c r="A31" s="1"/>
      <x:c r="B31" s="2"/>
      <x:c r="C31" s="4"/>
      <x:c r="D31" s="4"/>
      <x:c r="E31" s="4"/>
      <x:c r="F31" s="4"/>
      <x:c r="G31" s="4"/>
      <x:c r="H31" s="4"/>
      <x:c r="I31" s="4"/>
      <x:c r="J31" s="2"/>
      <x:c r="K31" s="2"/>
      <x:c r="L31" s="1"/>
    </x:row>
    <x:row r="32" ht="25" customHeight="1">
      <x:c r="A32" s="1"/>
      <x:c r="B32" s="2"/>
      <x:c r="C32" s="4"/>
      <x:c r="D32" s="4"/>
      <x:c r="E32" s="4"/>
      <x:c r="F32" s="4"/>
      <x:c r="G32" s="4"/>
      <x:c r="H32" s="4"/>
      <x:c r="I32" s="4"/>
      <x:c r="J32" s="2"/>
      <x:c r="K32" s="2"/>
      <x:c r="L32" s="1"/>
    </x:row>
    <x:row r="33" ht="25" customHeight="1">
      <x:c r="A33" s="1"/>
      <x:c r="B33" s="10" t="str">
        <x:v>Funding allocation (proposed)</x:v>
      </x:c>
      <x:c r="C33" s="11"/>
      <x:c r="D33" s="11"/>
      <x:c r="E33" s="4"/>
      <x:c r="F33" s="4"/>
      <x:c r="G33" s="4"/>
      <x:c r="H33" s="4"/>
      <x:c r="I33" s="4"/>
      <x:c r="J33" s="2"/>
      <x:c r="K33" s="2"/>
      <x:c r="L33" s="1"/>
    </x:row>
    <x:row r="34" ht="25" customHeight="1">
      <x:c r="A34" s="1"/>
      <x:c r="B34" s="2" t="str">
        <x:v>Fixed cash budget</x:v>
      </x:c>
      <x:c r="C34" s="4" t="n">
        <x:f>I16</x:f>
        <x:v>680</x:v>
      </x:c>
      <x:c r="D34" s="4"/>
      <x:c r="E34" s="4"/>
      <x:c r="F34" s="4"/>
      <x:c r="G34" s="4"/>
      <x:c r="H34" s="4"/>
      <x:c r="I34" s="4"/>
      <x:c r="J34" s="2"/>
      <x:c r="K34" s="2" t="str">
        <x:v>Stop, simplify or test price/cost changes if economics remain weak.</x:v>
      </x:c>
      <x:c r="L34" s="1"/>
    </x:row>
    <x:row r="35" ht="25" customHeight="1">
      <x:c r="A35" s="1"/>
      <x:c r="B35" s="2" t="str">
        <x:v>Variable cash budget</x:v>
      </x:c>
      <x:c r="C35" s="4" t="n">
        <x:f>I15</x:f>
        <x:v>7.2</x:v>
      </x:c>
      <x:c r="D35" s="4"/>
      <x:c r="E35" s="4"/>
      <x:c r="F35" s="4"/>
      <x:c r="G35" s="4"/>
      <x:c r="H35" s="4"/>
      <x:c r="I35" s="4"/>
      <x:c r="J35" s="2"/>
      <x:c r="K35" s="2"/>
      <x:c r="L35" s="1"/>
    </x:row>
    <x:row r="36" ht="25" customHeight="1">
      <x:c r="A36" s="1"/>
      <x:c r="B36" s="2" t="str">
        <x:v>Unallocated contingency reserve</x:v>
      </x:c>
      <x:c r="C36" s="4" t="n">
        <x:f>Assumptions!C6-C34-C35</x:f>
        <x:v>212.8</x:v>
      </x:c>
      <x:c r="D36" s="4"/>
      <x:c r="E36" s="4"/>
      <x:c r="F36" s="4"/>
      <x:c r="G36" s="4"/>
      <x:c r="H36" s="4"/>
      <x:c r="I36" s="4"/>
      <x:c r="J36" s="2"/>
      <x:c r="K36" s="2" t="str">
        <x:v>No equity valuation, IRR or guaranteed repayment is claimed.</x:v>
      </x:c>
      <x:c r="L36" s="1"/>
    </x:row>
    <x:row r="37" ht="25" customHeight="1">
      <x:c r="A37" s="1"/>
      <x:c r="B37" s="2" t="str">
        <x:v>Total funding requested</x:v>
      </x:c>
      <x:c r="C37" s="4" t="n">
        <x:f>SUM(C34:C36)</x:f>
        <x:v>900</x:v>
      </x:c>
      <x:c r="D37" s="4"/>
      <x:c r="E37" s="4"/>
      <x:c r="F37" s="4"/>
      <x:c r="G37" s="4"/>
      <x:c r="H37" s="4"/>
      <x:c r="I37" s="4"/>
      <x:c r="J37" s="2"/>
      <x:c r="K37" s="2"/>
      <x:c r="L37" s="1"/>
    </x:row>
    <x:row r="38" ht="25" customHeight="1">
      <x:c r="A38" s="1"/>
      <x:c r="B38" s="2"/>
      <x:c r="C38" s="4"/>
      <x:c r="D38" s="4"/>
      <x:c r="E38" s="4"/>
      <x:c r="F38" s="4"/>
      <x:c r="G38" s="4"/>
      <x:c r="H38" s="4"/>
      <x:c r="I38" s="4"/>
      <x:c r="J38" s="2"/>
      <x:c r="K38" s="2"/>
      <x:c r="L38" s="1"/>
    </x:row>
    <x:row r="39" ht="25" customHeight="1">
      <x:c r="A39" s="1"/>
      <x:c r="B39" s="2"/>
      <x:c r="C39" s="4"/>
      <x:c r="D39" s="4"/>
      <x:c r="E39" s="4"/>
      <x:c r="F39" s="4"/>
      <x:c r="G39" s="4"/>
      <x:c r="H39" s="4"/>
      <x:c r="I39" s="4"/>
      <x:c r="J39" s="2"/>
      <x:c r="K39" s="2"/>
      <x:c r="L39" s="1"/>
    </x:row>
    <x:row r="40" ht="25" customHeight="1">
      <x:c r="A40" s="1"/>
      <x:c r="B40" s="2"/>
      <x:c r="C40" s="4"/>
      <x:c r="D40" s="4"/>
      <x:c r="E40" s="4"/>
      <x:c r="F40" s="4"/>
      <x:c r="G40" s="4"/>
      <x:c r="H40" s="4"/>
      <x:c r="I40" s="4"/>
      <x:c r="J40" s="2"/>
      <x:c r="K40" s="2"/>
      <x:c r="L40" s="1"/>
    </x:row>
    <x:row r="41" ht="25" customHeight="1">
      <x:c r="A41" s="1"/>
      <x:c r="B41" s="2"/>
      <x:c r="C41" s="4"/>
      <x:c r="D41" s="4"/>
      <x:c r="E41" s="4"/>
      <x:c r="F41" s="4"/>
      <x:c r="G41" s="4"/>
      <x:c r="H41" s="4"/>
      <x:c r="I41" s="4"/>
      <x:c r="J41" s="2"/>
      <x:c r="K41" s="2"/>
      <x:c r="L41" s="1"/>
    </x:row>
    <x:row r="42" ht="25" customHeight="1">
      <x:c r="A42" s="1"/>
      <x:c r="B42" s="2"/>
      <x:c r="C42" s="4"/>
      <x:c r="D42" s="4"/>
      <x:c r="E42" s="4"/>
      <x:c r="F42" s="4"/>
      <x:c r="G42" s="4"/>
      <x:c r="H42" s="4"/>
      <x:c r="I42" s="4"/>
      <x:c r="J42" s="2"/>
      <x:c r="K42" s="2"/>
      <x:c r="L42" s="1"/>
    </x:row>
    <x:row r="43" ht="25" customHeight="1">
      <x:c r="A43" s="1"/>
      <x:c r="B43" s="2"/>
      <x:c r="C43" s="4"/>
      <x:c r="D43" s="4"/>
      <x:c r="E43" s="4"/>
      <x:c r="F43" s="4"/>
      <x:c r="G43" s="4"/>
      <x:c r="H43" s="4"/>
      <x:c r="I43" s="4"/>
      <x:c r="J43" s="2"/>
      <x:c r="K43" s="2"/>
      <x:c r="L43" s="1"/>
    </x:row>
    <x:row r="44" ht="25" customHeight="1">
      <x:c r="A44" s="1"/>
      <x:c r="B44" s="2"/>
      <x:c r="C44" s="4"/>
      <x:c r="D44" s="4"/>
      <x:c r="E44" s="4"/>
      <x:c r="F44" s="4"/>
      <x:c r="G44" s="4"/>
      <x:c r="H44" s="4"/>
      <x:c r="I44" s="4"/>
      <x:c r="J44" s="2"/>
      <x:c r="K44" s="2"/>
      <x:c r="L44" s="1"/>
    </x:row>
    <x:row r="45" ht="25" customHeight="1">
      <x:c r="A45" s="1"/>
      <x:c r="B45" s="2"/>
      <x:c r="C45" s="4"/>
      <x:c r="D45" s="4"/>
      <x:c r="E45" s="4"/>
      <x:c r="F45" s="4"/>
      <x:c r="G45" s="4"/>
      <x:c r="H45" s="4"/>
      <x:c r="I45" s="4"/>
      <x:c r="J45" s="2"/>
      <x:c r="K45" s="2"/>
      <x:c r="L45" s="1"/>
    </x:row>
    <x:row r="46" ht="25" customHeight="1">
      <x:c r="A46" s="1"/>
      <x:c r="B46" s="2"/>
      <x:c r="C46" s="4"/>
      <x:c r="D46" s="4"/>
      <x:c r="E46" s="4"/>
      <x:c r="F46" s="4"/>
      <x:c r="G46" s="4"/>
      <x:c r="H46" s="4"/>
      <x:c r="I46" s="4"/>
      <x:c r="J46" s="2"/>
      <x:c r="K46" s="2"/>
      <x:c r="L46" s="1"/>
    </x:row>
    <x:row r="47" ht="25" customHeight="1">
      <x:c r="A47" s="1"/>
      <x:c r="B47" s="2"/>
      <x:c r="C47" s="4"/>
      <x:c r="D47" s="4"/>
      <x:c r="E47" s="4"/>
      <x:c r="F47" s="4"/>
      <x:c r="G47" s="4"/>
      <x:c r="H47" s="4"/>
      <x:c r="I47" s="4"/>
      <x:c r="J47" s="2"/>
      <x:c r="K47" s="2"/>
      <x:c r="L47" s="1"/>
    </x:row>
    <x:row r="48" ht="25" customHeight="1">
      <x:c r="A48" s="1"/>
      <x:c r="B48" s="2"/>
      <x:c r="C48" s="4"/>
      <x:c r="D48" s="4"/>
      <x:c r="E48" s="4"/>
      <x:c r="F48" s="4"/>
      <x:c r="G48" s="4"/>
      <x:c r="H48" s="4"/>
      <x:c r="I48" s="4"/>
      <x:c r="J48" s="2"/>
      <x:c r="K48" s="2"/>
      <x:c r="L48" s="1"/>
    </x:row>
  </x:sheetData>
  <x:conditionalFormatting sqref="C7:I3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" hidden="0" customWidth="1"/>
    <x:col min="2" max="2" width="4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" hidden="0" customWidth="1"/>
    <x:col min="11" max="11" width="76" hidden="0" customWidth="1"/>
  </x:cols>
  <x:sheetData>
    <x:row r="1" ht="25" customHeight="1">
      <x:c r="A1" s="1"/>
      <x:c r="B1" s="2"/>
      <x:c r="C1" s="4"/>
      <x:c r="D1" s="4"/>
      <x:c r="E1" s="4"/>
      <x:c r="F1" s="4"/>
      <x:c r="G1" s="4"/>
      <x:c r="H1" s="4"/>
      <x:c r="I1" s="4"/>
      <x:c r="J1" s="2"/>
      <x:c r="K1" s="2"/>
      <x:c r="L1" s="1"/>
    </x:row>
    <x:row r="2" ht="25" customHeight="1">
      <x:c r="A2" s="1"/>
      <x:c r="B2" s="5" t="str">
        <x:v>U Use forecast assumptions</x:v>
      </x:c>
      <x:c r="C2" s="4"/>
      <x:c r="D2" s="4"/>
      <x:c r="E2" s="4"/>
      <x:c r="F2" s="4"/>
      <x:c r="G2" s="4"/>
      <x:c r="H2" s="4"/>
      <x:c r="I2" s="4"/>
      <x:c r="J2" s="2"/>
      <x:c r="K2" s="2"/>
      <x:c r="L2" s="1"/>
    </x:row>
    <x:row r="3" ht="25" customHeight="1">
      <x:c r="A3" s="1"/>
      <x:c r="B3" s="2" t="str">
        <x:v>Case selected (1 Base, 2 Downside)</x:v>
      </x:c>
      <x:c r="C3" s="19" t="n">
        <x:v>1</x:v>
      </x:c>
      <x:c r="D3" s="4"/>
      <x:c r="E3" s="4"/>
      <x:c r="F3" s="4"/>
      <x:c r="G3" s="4"/>
      <x:c r="H3" s="4"/>
      <x:c r="I3" s="4"/>
      <x:c r="J3" s="2"/>
      <x:c r="K3" s="2" t="str">
        <x:v>Inputs are planning judgments, not adoption or income observations.</x:v>
      </x:c>
      <x:c r="L3" s="1"/>
    </x:row>
    <x:row r="4" ht="25" customHeight="1">
      <x:c r="A4" s="1"/>
      <x:c r="B4" s="2"/>
      <x:c r="C4" s="16"/>
      <x:c r="D4" s="4"/>
      <x:c r="E4" s="4"/>
      <x:c r="F4" s="4"/>
      <x:c r="G4" s="4"/>
      <x:c r="H4" s="4"/>
      <x:c r="I4" s="4"/>
      <x:c r="J4" s="2"/>
      <x:c r="K4" s="2"/>
      <x:c r="L4" s="1"/>
    </x:row>
    <x:row r="5" ht="25" customHeight="1">
      <x:c r="A5" s="1"/>
      <x:c r="B5" s="2" t="str">
        <x:v>DTS cohort, approximate students</x:v>
      </x:c>
      <x:c r="C5" s="20" t="n">
        <x:v>430</x:v>
      </x:c>
      <x:c r="D5" s="4"/>
      <x:c r="E5" s="4"/>
      <x:c r="F5" s="4"/>
      <x:c r="G5" s="4"/>
      <x:c r="H5" s="4"/>
      <x:c r="I5" s="4"/>
      <x:c r="J5" s="2"/>
      <x:c r="K5" s="2" t="str">
        <x:v>430: Rita, 19 Oct 2026. Recruitment permission unconfirmed.</x:v>
      </x:c>
      <x:c r="L5" s="1"/>
    </x:row>
    <x:row r="6" ht="25" customHeight="1">
      <x:c r="A6" s="1"/>
      <x:c r="B6" s="2" t="str">
        <x:v>Proposed total validation funding, CNY</x:v>
      </x:c>
      <x:c r="C6" s="16" t="n">
        <x:v>900</x:v>
      </x:c>
      <x:c r="D6" s="4"/>
      <x:c r="E6" s="4"/>
      <x:c r="F6" s="4"/>
      <x:c r="G6" s="4"/>
      <x:c r="H6" s="4"/>
      <x:c r="I6" s="4"/>
      <x:c r="J6" s="2"/>
      <x:c r="K6" s="2" t="str">
        <x:v>900 CNY is a proposed capped grant, subject to team/funder approval.</x:v>
      </x:c>
      <x:c r="L6" s="1"/>
    </x:row>
    <x:row r="7" ht="25" customHeight="1">
      <x:c r="A7" s="1"/>
      <x:c r="B7" s="2" t="str">
        <x:v>Proposed first release, CNY</x:v>
      </x:c>
      <x:c r="C7" s="16" t="n">
        <x:v>200</x:v>
      </x:c>
      <x:c r="D7" s="4"/>
      <x:c r="E7" s="4"/>
      <x:c r="F7" s="4"/>
      <x:c r="G7" s="4"/>
      <x:c r="H7" s="4"/>
      <x:c r="I7" s="4"/>
      <x:c r="J7" s="2"/>
      <x:c r="K7" s="2"/>
      <x:c r="L7" s="1"/>
    </x:row>
    <x:row r="8" ht="25" customHeight="1">
      <x:c r="A8" s="1"/>
      <x:c r="B8" s="2" t="str">
        <x:v>Conditional second release, CNY</x:v>
      </x:c>
      <x:c r="C8" s="4" t="n">
        <x:f>C6-C7</x:f>
        <x:v>700</x:v>
      </x:c>
      <x:c r="D8" s="4"/>
      <x:c r="E8" s="4"/>
      <x:c r="F8" s="4"/>
      <x:c r="G8" s="4"/>
      <x:c r="H8" s="4"/>
      <x:c r="I8" s="4"/>
      <x:c r="J8" s="2"/>
      <x:c r="K8" s="2" t="str">
        <x:v>Second release assumes a documented pilot review and approval.</x:v>
      </x:c>
      <x:c r="L8" s="1"/>
    </x:row>
    <x:row r="9" ht="25" customHeight="1">
      <x:c r="A9" s="1"/>
      <x:c r="B9" s="10"/>
      <x:c r="C9" s="11" t="str">
        <x:v>Nov 2026</x:v>
      </x:c>
      <x:c r="D9" s="11" t="str">
        <x:v>Dec 2026</x:v>
      </x:c>
      <x:c r="E9" s="11" t="str">
        <x:v>Jan 2027</x:v>
      </x:c>
      <x:c r="F9" s="11" t="str">
        <x:v>Feb 2027</x:v>
      </x:c>
      <x:c r="G9" s="11" t="str">
        <x:v>Mar 2027</x:v>
      </x:c>
      <x:c r="H9" s="11" t="str">
        <x:v>Apr 2027</x:v>
      </x:c>
      <x:c r="I9" s="4"/>
      <x:c r="J9" s="2"/>
      <x:c r="K9" s="2"/>
      <x:c r="L9" s="1"/>
    </x:row>
    <x:row r="10" ht="25" customHeight="1">
      <x:c r="A10" s="1"/>
      <x:c r="B10" s="2"/>
      <x:c r="C10" s="4"/>
      <x:c r="D10" s="4"/>
      <x:c r="E10" s="4"/>
      <x:c r="F10" s="4"/>
      <x:c r="G10" s="4"/>
      <x:c r="H10" s="4"/>
      <x:c r="I10" s="4"/>
      <x:c r="J10" s="2"/>
      <x:c r="K10" s="2"/>
      <x:c r="L10" s="1"/>
    </x:row>
    <x:row r="11" ht="25" customHeight="1">
      <x:c r="A11" s="1"/>
      <x:c r="B11" s="2"/>
      <x:c r="C11" s="4"/>
      <x:c r="D11" s="4"/>
      <x:c r="E11" s="4"/>
      <x:c r="F11" s="4"/>
      <x:c r="G11" s="4"/>
      <x:c r="H11" s="4"/>
      <x:c r="I11" s="4"/>
      <x:c r="J11" s="2"/>
      <x:c r="K11" s="2"/>
      <x:c r="L11" s="1"/>
    </x:row>
    <x:row r="12" ht="25" customHeight="1">
      <x:c r="A12" s="1"/>
      <x:c r="B12" s="14" t="str">
        <x:v>Completed requests / Active</x:v>
      </x:c>
      <x:c r="C12" s="21" t="n">
        <x:f>IF(CHOOSE($C$3,ISBLANK(C13),ISBLANK(C14)),"missing",CHOOSE($C$3,C13,C14))</x:f>
        <x:v>2</x:v>
      </x:c>
      <x:c r="D12" s="21" t="n">
        <x:f>IF(CHOOSE($C$3,ISBLANK(D13),ISBLANK(D14)),"missing",CHOOSE($C$3,D13,D14))</x:f>
        <x:v>4</x:v>
      </x:c>
      <x:c r="E12" s="21" t="n">
        <x:f>IF(CHOOSE($C$3,ISBLANK(E13),ISBLANK(E14)),"missing",CHOOSE($C$3,E13,E14))</x:f>
        <x:v>6</x:v>
      </x:c>
      <x:c r="F12" s="21" t="n">
        <x:f>IF(CHOOSE($C$3,ISBLANK(F13),ISBLANK(F14)),"missing",CHOOSE($C$3,F13,F14))</x:f>
        <x:v>8</x:v>
      </x:c>
      <x:c r="G12" s="21" t="n">
        <x:f>IF(CHOOSE($C$3,ISBLANK(G13),ISBLANK(G14)),"missing",CHOOSE($C$3,G13,G14))</x:f>
        <x:v>8</x:v>
      </x:c>
      <x:c r="H12" s="21" t="n">
        <x:f>IF(CHOOSE($C$3,ISBLANK(H13),ISBLANK(H14)),"missing",CHOOSE($C$3,H13,H14))</x:f>
        <x:v>10</x:v>
      </x:c>
      <x:c r="I12" s="4"/>
      <x:c r="J12" s="2"/>
      <x:c r="K12" s="2" t="str">
        <x:v>Volumes are completed requests, not unique users or registrations.</x:v>
      </x:c>
      <x:c r="L12" s="1"/>
    </x:row>
    <x:row r="13" ht="25" customHeight="1">
      <x:c r="A13" s="1"/>
      <x:c r="B13" s="2" t="str">
        <x:v>Base / planning</x:v>
      </x:c>
      <x:c r="C13" s="20" t="n">
        <x:v>2</x:v>
      </x:c>
      <x:c r="D13" s="20" t="n">
        <x:v>4</x:v>
      </x:c>
      <x:c r="E13" s="20" t="n">
        <x:v>6</x:v>
      </x:c>
      <x:c r="F13" s="20" t="n">
        <x:v>8</x:v>
      </x:c>
      <x:c r="G13" s="20" t="n">
        <x:v>8</x:v>
      </x:c>
      <x:c r="H13" s="20" t="n">
        <x:v>10</x:v>
      </x:c>
      <x:c r="I13" s="4"/>
      <x:c r="J13" s="2"/>
      <x:c r="K13" s="2"/>
      <x:c r="L13" s="1"/>
    </x:row>
    <x:row r="14" ht="25" customHeight="1">
      <x:c r="A14" s="1"/>
      <x:c r="B14" s="2" t="str">
        <x:v>Downside / planning</x:v>
      </x:c>
      <x:c r="C14" s="20" t="n">
        <x:v>0</x:v>
      </x:c>
      <x:c r="D14" s="20" t="n">
        <x:v>1</x:v>
      </x:c>
      <x:c r="E14" s="20" t="n">
        <x:v>1</x:v>
      </x:c>
      <x:c r="F14" s="20" t="n">
        <x:v>2</x:v>
      </x:c>
      <x:c r="G14" s="20" t="n">
        <x:v>2</x:v>
      </x:c>
      <x:c r="H14" s="20" t="n">
        <x:v>2</x:v>
      </x:c>
      <x:c r="I14" s="4"/>
      <x:c r="J14" s="2"/>
      <x:c r="K14" s="2"/>
      <x:c r="L14" s="1"/>
    </x:row>
    <x:row r="15" ht="25" customHeight="1">
      <x:c r="A15" s="1"/>
      <x:c r="B15" s="2"/>
      <x:c r="C15" s="4"/>
      <x:c r="D15" s="4"/>
      <x:c r="E15" s="4"/>
      <x:c r="F15" s="4"/>
      <x:c r="G15" s="4"/>
      <x:c r="H15" s="4"/>
      <x:c r="I15" s="4"/>
      <x:c r="J15" s="2"/>
      <x:c r="K15" s="2"/>
      <x:c r="L15" s="1"/>
    </x:row>
    <x:row r="16" ht="25" customHeight="1">
      <x:c r="A16" s="1"/>
      <x:c r="B16" s="14" t="str">
        <x:v>Fee-bearing share / Active</x:v>
      </x:c>
      <x:c r="C16" s="17" t="n">
        <x:f>IF(CHOOSE($C$3,ISBLANK(C17),ISBLANK(C18)),"missing",CHOOSE($C$3,C17,C18))</x:f>
        <x:v>0.5</x:v>
      </x:c>
      <x:c r="D16" s="17" t="n">
        <x:f>IF(CHOOSE($C$3,ISBLANK(D17),ISBLANK(D18)),"missing",CHOOSE($C$3,D17,D18))</x:f>
        <x:v>0.5</x:v>
      </x:c>
      <x:c r="E16" s="17" t="n">
        <x:f>IF(CHOOSE($C$3,ISBLANK(E17),ISBLANK(E18)),"missing",CHOOSE($C$3,E17,E18))</x:f>
        <x:v>0.5</x:v>
      </x:c>
      <x:c r="F16" s="17" t="n">
        <x:f>IF(CHOOSE($C$3,ISBLANK(F17),ISBLANK(F18)),"missing",CHOOSE($C$3,F17,F18))</x:f>
        <x:v>0.5</x:v>
      </x:c>
      <x:c r="G16" s="17" t="n">
        <x:f>IF(CHOOSE($C$3,ISBLANK(G17),ISBLANK(G18)),"missing",CHOOSE($C$3,G17,G18))</x:f>
        <x:v>0.5</x:v>
      </x:c>
      <x:c r="H16" s="17" t="n">
        <x:f>IF(CHOOSE($C$3,ISBLANK(H17),ISBLANK(H18)),"missing",CHOOSE($C$3,H17,H18))</x:f>
        <x:v>0.5</x:v>
      </x:c>
      <x:c r="I16" s="4"/>
      <x:c r="J16" s="2"/>
      <x:c r="K16" s="2" t="str">
        <x:v>Free borrowing and swaps generate no fee-bearing GMV.</x:v>
      </x:c>
      <x:c r="L16" s="1"/>
    </x:row>
    <x:row r="17" ht="25" customHeight="1">
      <x:c r="A17" s="1"/>
      <x:c r="B17" s="2" t="str">
        <x:v>Base / planning</x:v>
      </x:c>
      <x:c r="C17" s="18" t="n">
        <x:v>0.5</x:v>
      </x:c>
      <x:c r="D17" s="18" t="n">
        <x:v>0.5</x:v>
      </x:c>
      <x:c r="E17" s="18" t="n">
        <x:v>0.5</x:v>
      </x:c>
      <x:c r="F17" s="18" t="n">
        <x:v>0.5</x:v>
      </x:c>
      <x:c r="G17" s="18" t="n">
        <x:v>0.5</x:v>
      </x:c>
      <x:c r="H17" s="18" t="n">
        <x:v>0.5</x:v>
      </x:c>
      <x:c r="I17" s="4"/>
      <x:c r="J17" s="2"/>
      <x:c r="K17" s="2"/>
      <x:c r="L17" s="1"/>
    </x:row>
    <x:row r="18" ht="25" customHeight="1">
      <x:c r="A18" s="1"/>
      <x:c r="B18" s="2" t="str">
        <x:v>Downside / planning</x:v>
      </x:c>
      <x:c r="C18" s="18" t="n">
        <x:v>0.5</x:v>
      </x:c>
      <x:c r="D18" s="18" t="n">
        <x:v>0.5</x:v>
      </x:c>
      <x:c r="E18" s="18" t="n">
        <x:v>0.5</x:v>
      </x:c>
      <x:c r="F18" s="18" t="n">
        <x:v>0.5</x:v>
      </x:c>
      <x:c r="G18" s="18" t="n">
        <x:v>0.5</x:v>
      </x:c>
      <x:c r="H18" s="18" t="n">
        <x:v>0.5</x:v>
      </x:c>
      <x:c r="I18" s="4"/>
      <x:c r="J18" s="2"/>
      <x:c r="K18" s="2"/>
      <x:c r="L18" s="1"/>
    </x:row>
    <x:row r="19" ht="25" customHeight="1">
      <x:c r="A19" s="1"/>
      <x:c r="B19" s="2"/>
      <x:c r="C19" s="4"/>
      <x:c r="D19" s="4"/>
      <x:c r="E19" s="4"/>
      <x:c r="F19" s="4"/>
      <x:c r="G19" s="4"/>
      <x:c r="H19" s="4"/>
      <x:c r="I19" s="4"/>
      <x:c r="J19" s="2"/>
      <x:c r="K19" s="2"/>
      <x:c r="L19" s="1"/>
    </x:row>
    <x:row r="20" ht="25" customHeight="1">
      <x:c r="A20" s="1"/>
      <x:c r="B20" s="14" t="str">
        <x:v>Consideration per paid request, CNY / Active</x:v>
      </x:c>
      <x:c r="C20" s="15" t="n">
        <x:f>IF(CHOOSE($C$3,ISBLANK(C21),ISBLANK(C22)),"missing",CHOOSE($C$3,C21,C22))</x:f>
        <x:v>20</x:v>
      </x:c>
      <x:c r="D20" s="15" t="n">
        <x:f>IF(CHOOSE($C$3,ISBLANK(D21),ISBLANK(D22)),"missing",CHOOSE($C$3,D21,D22))</x:f>
        <x:v>20</x:v>
      </x:c>
      <x:c r="E20" s="15" t="n">
        <x:f>IF(CHOOSE($C$3,ISBLANK(E21),ISBLANK(E22)),"missing",CHOOSE($C$3,E21,E22))</x:f>
        <x:v>20</x:v>
      </x:c>
      <x:c r="F20" s="15" t="n">
        <x:f>IF(CHOOSE($C$3,ISBLANK(F21),ISBLANK(F22)),"missing",CHOOSE($C$3,F21,F22))</x:f>
        <x:v>20</x:v>
      </x:c>
      <x:c r="G20" s="15" t="n">
        <x:f>IF(CHOOSE($C$3,ISBLANK(G21),ISBLANK(G22)),"missing",CHOOSE($C$3,G21,G22))</x:f>
        <x:v>20</x:v>
      </x:c>
      <x:c r="H20" s="15" t="n">
        <x:f>IF(CHOOSE($C$3,ISBLANK(H21),ISBLANK(H22)),"missing",CHOOSE($C$3,H21,H22))</x:f>
        <x:v>20</x:v>
      </x:c>
      <x:c r="I20" s="4"/>
      <x:c r="J20" s="2"/>
      <x:c r="K20" s="2" t="str">
        <x:v>Consideration excludes refundable deposits. No escrow is offered.</x:v>
      </x:c>
      <x:c r="L20" s="1"/>
    </x:row>
    <x:row r="21" ht="25" customHeight="1">
      <x:c r="A21" s="1"/>
      <x:c r="B21" s="2" t="str">
        <x:v>Base / planning</x:v>
      </x:c>
      <x:c r="C21" s="16" t="n">
        <x:v>20</x:v>
      </x:c>
      <x:c r="D21" s="16" t="n">
        <x:v>20</x:v>
      </x:c>
      <x:c r="E21" s="16" t="n">
        <x:v>20</x:v>
      </x:c>
      <x:c r="F21" s="16" t="n">
        <x:v>20</x:v>
      </x:c>
      <x:c r="G21" s="16" t="n">
        <x:v>20</x:v>
      </x:c>
      <x:c r="H21" s="16" t="n">
        <x:v>20</x:v>
      </x:c>
      <x:c r="I21" s="4"/>
      <x:c r="J21" s="2"/>
      <x:c r="K21" s="2"/>
      <x:c r="L21" s="1"/>
    </x:row>
    <x:row r="22" ht="25" customHeight="1">
      <x:c r="A22" s="1"/>
      <x:c r="B22" s="2" t="str">
        <x:v>Downside / planning</x:v>
      </x:c>
      <x:c r="C22" s="16" t="n">
        <x:v>20</x:v>
      </x:c>
      <x:c r="D22" s="16" t="n">
        <x:v>20</x:v>
      </x:c>
      <x:c r="E22" s="16" t="n">
        <x:v>20</x:v>
      </x:c>
      <x:c r="F22" s="16" t="n">
        <x:v>20</x:v>
      </x:c>
      <x:c r="G22" s="16" t="n">
        <x:v>20</x:v>
      </x:c>
      <x:c r="H22" s="16" t="n">
        <x:v>20</x:v>
      </x:c>
      <x:c r="I22" s="4"/>
      <x:c r="J22" s="2"/>
      <x:c r="K22" s="2"/>
      <x:c r="L22" s="1"/>
    </x:row>
    <x:row r="23" ht="25" customHeight="1">
      <x:c r="A23" s="1"/>
      <x:c r="B23" s="2"/>
      <x:c r="C23" s="4"/>
      <x:c r="D23" s="4"/>
      <x:c r="E23" s="4"/>
      <x:c r="F23" s="4"/>
      <x:c r="G23" s="4"/>
      <x:c r="H23" s="4"/>
      <x:c r="I23" s="4"/>
      <x:c r="J23" s="2"/>
      <x:c r="K23" s="2"/>
      <x:c r="L23" s="1"/>
    </x:row>
    <x:row r="24" ht="25" customHeight="1">
      <x:c r="A24" s="1"/>
      <x:c r="B24" s="14" t="str">
        <x:v>Platform fee rate / Active</x:v>
      </x:c>
      <x:c r="C24" s="17" t="n">
        <x:f>IF(CHOOSE($C$3,ISBLANK(C25),ISBLANK(C26)),"missing",CHOOSE($C$3,C25,C26))</x:f>
        <x:v>0</x:v>
      </x:c>
      <x:c r="D24" s="17" t="n">
        <x:f>IF(CHOOSE($C$3,ISBLANK(D25),ISBLANK(D26)),"missing",CHOOSE($C$3,D25,D26))</x:f>
        <x:v>0</x:v>
      </x:c>
      <x:c r="E24" s="17" t="n">
        <x:f>IF(CHOOSE($C$3,ISBLANK(E25),ISBLANK(E26)),"missing",CHOOSE($C$3,E25,E26))</x:f>
        <x:v>0</x:v>
      </x:c>
      <x:c r="F24" s="17" t="n">
        <x:f>IF(CHOOSE($C$3,ISBLANK(F25),ISBLANK(F26)),"missing",CHOOSE($C$3,F25,F26))</x:f>
        <x:v>0.05</x:v>
      </x:c>
      <x:c r="G24" s="17" t="n">
        <x:f>IF(CHOOSE($C$3,ISBLANK(G25),ISBLANK(G26)),"missing",CHOOSE($C$3,G25,G26))</x:f>
        <x:v>0.05</x:v>
      </x:c>
      <x:c r="H24" s="17" t="n">
        <x:f>IF(CHOOSE($C$3,ISBLANK(H25),ISBLANK(H26)),"missing",CHOOSE($C$3,H25,H26))</x:f>
        <x:v>0.05</x:v>
      </x:c>
      <x:c r="I24" s="4"/>
      <x:c r="J24" s="2"/>
      <x:c r="K24" s="2" t="str">
        <x:v>Later 5% fee is hypothetical. Willingness to pay remains untested.</x:v>
      </x:c>
      <x:c r="L24" s="1"/>
    </x:row>
    <x:row r="25" ht="25" customHeight="1">
      <x:c r="A25" s="1"/>
      <x:c r="B25" s="2" t="str">
        <x:v>Base / planning</x:v>
      </x:c>
      <x:c r="C25" s="18" t="n">
        <x:v>0</x:v>
      </x:c>
      <x:c r="D25" s="18" t="n">
        <x:v>0</x:v>
      </x:c>
      <x:c r="E25" s="18" t="n">
        <x:v>0</x:v>
      </x:c>
      <x:c r="F25" s="18" t="n">
        <x:v>0.05</x:v>
      </x:c>
      <x:c r="G25" s="18" t="n">
        <x:v>0.05</x:v>
      </x:c>
      <x:c r="H25" s="18" t="n">
        <x:v>0.05</x:v>
      </x:c>
      <x:c r="I25" s="4"/>
      <x:c r="J25" s="2"/>
      <x:c r="K25" s="2"/>
      <x:c r="L25" s="1"/>
    </x:row>
    <x:row r="26" ht="25" customHeight="1">
      <x:c r="A26" s="1"/>
      <x:c r="B26" s="2" t="str">
        <x:v>Downside / planning</x:v>
      </x:c>
      <x:c r="C26" s="18" t="n">
        <x:v>0</x:v>
      </x:c>
      <x:c r="D26" s="18" t="n">
        <x:v>0</x:v>
      </x:c>
      <x:c r="E26" s="18" t="n">
        <x:v>0</x:v>
      </x:c>
      <x:c r="F26" s="18" t="n">
        <x:v>0.05</x:v>
      </x:c>
      <x:c r="G26" s="18" t="n">
        <x:v>0.05</x:v>
      </x:c>
      <x:c r="H26" s="18" t="n">
        <x:v>0.05</x:v>
      </x:c>
      <x:c r="I26" s="4"/>
      <x:c r="J26" s="2"/>
      <x:c r="K26" s="2"/>
      <x:c r="L26" s="1"/>
    </x:row>
    <x:row r="27" ht="25" customHeight="1">
      <x:c r="A27" s="1"/>
      <x:c r="B27" s="2"/>
      <x:c r="C27" s="4"/>
      <x:c r="D27" s="4"/>
      <x:c r="E27" s="4"/>
      <x:c r="F27" s="4"/>
      <x:c r="G27" s="4"/>
      <x:c r="H27" s="4"/>
      <x:c r="I27" s="4"/>
      <x:c r="J27" s="2"/>
      <x:c r="K27" s="2"/>
      <x:c r="L27" s="1"/>
    </x:row>
    <x:row r="28" ht="25" customHeight="1">
      <x:c r="A28" s="1"/>
      <x:c r="B28" s="14" t="str">
        <x:v>Fixed cash budget, CNY / Active</x:v>
      </x:c>
      <x:c r="C28" s="15" t="n">
        <x:f>IF(CHOOSE($C$3,ISBLANK(C29),ISBLANK(C30)),"missing",CHOOSE($C$3,C29,C30))</x:f>
        <x:v>180</x:v>
      </x:c>
      <x:c r="D28" s="15" t="n">
        <x:f>IF(CHOOSE($C$3,ISBLANK(D29),ISBLANK(D30)),"missing",CHOOSE($C$3,D29,D30))</x:f>
        <x:v>100</x:v>
      </x:c>
      <x:c r="E28" s="15" t="n">
        <x:f>IF(CHOOSE($C$3,ISBLANK(E29),ISBLANK(E30)),"missing",CHOOSE($C$3,E29,E30))</x:f>
        <x:v>100</x:v>
      </x:c>
      <x:c r="F28" s="15" t="n">
        <x:f>IF(CHOOSE($C$3,ISBLANK(F29),ISBLANK(F30)),"missing",CHOOSE($C$3,F29,F30))</x:f>
        <x:v>100</x:v>
      </x:c>
      <x:c r="G28" s="15" t="n">
        <x:f>IF(CHOOSE($C$3,ISBLANK(G29),ISBLANK(G30)),"missing",CHOOSE($C$3,G29,G30))</x:f>
        <x:v>100</x:v>
      </x:c>
      <x:c r="H28" s="15" t="n">
        <x:f>IF(CHOOSE($C$3,ISBLANK(H29),ISBLANK(H30)),"missing",CHOOSE($C$3,H29,H30))</x:f>
        <x:v>100</x:v>
      </x:c>
      <x:c r="I28" s="4"/>
      <x:c r="J28" s="2"/>
      <x:c r="K28" s="2" t="str">
        <x:v>First 180 matches A1. Later 100 = hosting 60 + email 20 + support 20.</x:v>
      </x:c>
      <x:c r="L28" s="1"/>
    </x:row>
    <x:row r="29" ht="25" customHeight="1">
      <x:c r="A29" s="1"/>
      <x:c r="B29" s="2" t="str">
        <x:v>Base / planning</x:v>
      </x:c>
      <x:c r="C29" s="16" t="n">
        <x:v>180</x:v>
      </x:c>
      <x:c r="D29" s="16" t="n">
        <x:v>100</x:v>
      </x:c>
      <x:c r="E29" s="16" t="n">
        <x:v>100</x:v>
      </x:c>
      <x:c r="F29" s="16" t="n">
        <x:v>100</x:v>
      </x:c>
      <x:c r="G29" s="16" t="n">
        <x:v>100</x:v>
      </x:c>
      <x:c r="H29" s="16" t="n">
        <x:v>100</x:v>
      </x:c>
      <x:c r="I29" s="4"/>
      <x:c r="J29" s="2"/>
      <x:c r="K29" s="2"/>
      <x:c r="L29" s="1"/>
    </x:row>
    <x:row r="30" ht="25" customHeight="1">
      <x:c r="A30" s="1"/>
      <x:c r="B30" s="2" t="str">
        <x:v>Downside / planning</x:v>
      </x:c>
      <x:c r="C30" s="16" t="n">
        <x:v>180</x:v>
      </x:c>
      <x:c r="D30" s="16" t="n">
        <x:v>100</x:v>
      </x:c>
      <x:c r="E30" s="16" t="n">
        <x:v>100</x:v>
      </x:c>
      <x:c r="F30" s="16" t="n">
        <x:v>100</x:v>
      </x:c>
      <x:c r="G30" s="16" t="n">
        <x:v>100</x:v>
      </x:c>
      <x:c r="H30" s="16" t="n">
        <x:v>100</x:v>
      </x:c>
      <x:c r="I30" s="4"/>
      <x:c r="J30" s="2"/>
      <x:c r="K30" s="2"/>
      <x:c r="L30" s="1"/>
    </x:row>
    <x:row r="31" ht="25" customHeight="1">
      <x:c r="A31" s="1"/>
      <x:c r="B31" s="2"/>
      <x:c r="C31" s="4"/>
      <x:c r="D31" s="4"/>
      <x:c r="E31" s="4"/>
      <x:c r="F31" s="4"/>
      <x:c r="G31" s="4"/>
      <x:c r="H31" s="4"/>
      <x:c r="I31" s="4"/>
      <x:c r="J31" s="2"/>
      <x:c r="K31" s="2"/>
      <x:c r="L31" s="1"/>
    </x:row>
    <x:row r="32" ht="25" customHeight="1">
      <x:c r="A32" s="1"/>
      <x:c r="B32" s="14" t="str">
        <x:v>Variable cash per completed request, CNY / Active</x:v>
      </x:c>
      <x:c r="C32" s="15" t="n">
        <x:f>IF(CHOOSE($C$3,ISBLANK(C33),ISBLANK(C34)),"missing",CHOOSE($C$3,C33,C34))</x:f>
        <x:v>0</x:v>
      </x:c>
      <x:c r="D32" s="15" t="n">
        <x:f>IF(CHOOSE($C$3,ISBLANK(D33),ISBLANK(D34)),"missing",CHOOSE($C$3,D33,D34))</x:f>
        <x:v>0.2</x:v>
      </x:c>
      <x:c r="E32" s="15" t="n">
        <x:f>IF(CHOOSE($C$3,ISBLANK(E33),ISBLANK(E34)),"missing",CHOOSE($C$3,E33,E34))</x:f>
        <x:v>0.2</x:v>
      </x:c>
      <x:c r="F32" s="15" t="n">
        <x:f>IF(CHOOSE($C$3,ISBLANK(F33),ISBLANK(F34)),"missing",CHOOSE($C$3,F33,F34))</x:f>
        <x:v>0.2</x:v>
      </x:c>
      <x:c r="G32" s="15" t="n">
        <x:f>IF(CHOOSE($C$3,ISBLANK(G33),ISBLANK(G34)),"missing",CHOOSE($C$3,G33,G34))</x:f>
        <x:v>0.2</x:v>
      </x:c>
      <x:c r="H32" s="15" t="n">
        <x:f>IF(CHOOSE($C$3,ISBLANK(H33),ISBLANK(H34)),"missing",CHOOSE($C$3,H33,H34))</x:f>
        <x:v>0.2</x:v>
      </x:c>
      <x:c r="I32" s="4"/>
      <x:c r="J32" s="2"/>
      <x:c r="K32" s="2" t="str">
        <x:v>Pilot incidentals sit inside 180. Later 0.20 is an added assumption.</x:v>
      </x:c>
      <x:c r="L32" s="1"/>
    </x:row>
    <x:row r="33" ht="25" customHeight="1">
      <x:c r="A33" s="1"/>
      <x:c r="B33" s="2" t="str">
        <x:v>Base / planning</x:v>
      </x:c>
      <x:c r="C33" s="16" t="n">
        <x:v>0</x:v>
      </x:c>
      <x:c r="D33" s="16" t="n">
        <x:v>0.2</x:v>
      </x:c>
      <x:c r="E33" s="16" t="n">
        <x:v>0.2</x:v>
      </x:c>
      <x:c r="F33" s="16" t="n">
        <x:v>0.2</x:v>
      </x:c>
      <x:c r="G33" s="16" t="n">
        <x:v>0.2</x:v>
      </x:c>
      <x:c r="H33" s="16" t="n">
        <x:v>0.2</x:v>
      </x:c>
      <x:c r="I33" s="4"/>
      <x:c r="J33" s="2"/>
      <x:c r="K33" s="2"/>
      <x:c r="L33" s="1"/>
    </x:row>
    <x:row r="34" ht="25" customHeight="1">
      <x:c r="A34" s="1"/>
      <x:c r="B34" s="2" t="str">
        <x:v>Downside / planning</x:v>
      </x:c>
      <x:c r="C34" s="16" t="n">
        <x:v>0</x:v>
      </x:c>
      <x:c r="D34" s="16" t="n">
        <x:v>0.2</x:v>
      </x:c>
      <x:c r="E34" s="16" t="n">
        <x:v>0.2</x:v>
      </x:c>
      <x:c r="F34" s="16" t="n">
        <x:v>0.2</x:v>
      </x:c>
      <x:c r="G34" s="16" t="n">
        <x:v>0.2</x:v>
      </x:c>
      <x:c r="H34" s="16" t="n">
        <x:v>0.2</x:v>
      </x:c>
      <x:c r="I34" s="4"/>
      <x:c r="J34" s="2"/>
      <x:c r="K34" s="2"/>
      <x:c r="L34" s="1"/>
    </x:row>
    <x:row r="35" ht="25" customHeight="1">
      <x:c r="A35" s="1"/>
      <x:c r="B35" s="2"/>
      <x:c r="C35" s="4"/>
      <x:c r="D35" s="4"/>
      <x:c r="E35" s="4"/>
      <x:c r="F35" s="4"/>
      <x:c r="G35" s="4"/>
      <x:c r="H35" s="4"/>
      <x:c r="I35" s="4"/>
      <x:c r="J35" s="2"/>
      <x:c r="K35" s="2"/>
      <x:c r="L35" s="1"/>
    </x:row>
    <x:row r="36" ht="25" customHeight="1">
      <x:c r="A36" s="1"/>
      <x:c r="B36" s="14" t="str">
        <x:v>Team hours, unpaid / Active</x:v>
      </x:c>
      <x:c r="C36" s="21" t="n">
        <x:f>IF(CHOOSE($C$3,ISBLANK(C37),ISBLANK(C38)),"missing",CHOOSE($C$3,C37,C38))</x:f>
        <x:v>56</x:v>
      </x:c>
      <x:c r="D36" s="21" t="n">
        <x:f>IF(CHOOSE($C$3,ISBLANK(D37),ISBLANK(D38)),"missing",CHOOSE($C$3,D37,D38))</x:f>
        <x:v>28</x:v>
      </x:c>
      <x:c r="E36" s="21" t="n">
        <x:f>IF(CHOOSE($C$3,ISBLANK(E37),ISBLANK(E38)),"missing",CHOOSE($C$3,E37,E38))</x:f>
        <x:v>28</x:v>
      </x:c>
      <x:c r="F36" s="21" t="n">
        <x:f>IF(CHOOSE($C$3,ISBLANK(F37),ISBLANK(F38)),"missing",CHOOSE($C$3,F37,F38))</x:f>
        <x:v>28</x:v>
      </x:c>
      <x:c r="G36" s="21" t="n">
        <x:f>IF(CHOOSE($C$3,ISBLANK(G37),ISBLANK(G38)),"missing",CHOOSE($C$3,G37,G38))</x:f>
        <x:v>28</x:v>
      </x:c>
      <x:c r="H36" s="21" t="n">
        <x:f>IF(CHOOSE($C$3,ISBLANK(H37),ISBLANK(H38)),"missing",CHOOSE($C$3,H37,H38))</x:f>
        <x:v>28</x:v>
      </x:c>
      <x:c r="I36" s="4"/>
      <x:c r="J36" s="2"/>
      <x:c r="K36" s="2" t="str">
        <x:v>7 people x 2 h/week x 4 weeks initially, then 1 h/week.</x:v>
      </x:c>
      <x:c r="L36" s="1"/>
    </x:row>
    <x:row r="37" ht="25" customHeight="1">
      <x:c r="A37" s="1"/>
      <x:c r="B37" s="2" t="str">
        <x:v>Base / planning</x:v>
      </x:c>
      <x:c r="C37" s="20" t="n">
        <x:v>56</x:v>
      </x:c>
      <x:c r="D37" s="20" t="n">
        <x:v>28</x:v>
      </x:c>
      <x:c r="E37" s="20" t="n">
        <x:v>28</x:v>
      </x:c>
      <x:c r="F37" s="20" t="n">
        <x:v>28</x:v>
      </x:c>
      <x:c r="G37" s="20" t="n">
        <x:v>28</x:v>
      </x:c>
      <x:c r="H37" s="20" t="n">
        <x:v>28</x:v>
      </x:c>
      <x:c r="I37" s="4"/>
      <x:c r="J37" s="2"/>
      <x:c r="K37" s="2"/>
      <x:c r="L37" s="1"/>
    </x:row>
    <x:row r="38" ht="25" customHeight="1">
      <x:c r="A38" s="1"/>
      <x:c r="B38" s="2" t="str">
        <x:v>Downside / planning</x:v>
      </x:c>
      <x:c r="C38" s="20" t="n">
        <x:v>56</x:v>
      </x:c>
      <x:c r="D38" s="20" t="n">
        <x:v>28</x:v>
      </x:c>
      <x:c r="E38" s="20" t="n">
        <x:v>28</x:v>
      </x:c>
      <x:c r="F38" s="20" t="n">
        <x:v>28</x:v>
      </x:c>
      <x:c r="G38" s="20" t="n">
        <x:v>28</x:v>
      </x:c>
      <x:c r="H38" s="20" t="n">
        <x:v>28</x:v>
      </x:c>
      <x:c r="I38" s="4"/>
      <x:c r="J38" s="2"/>
      <x:c r="K38" s="2"/>
      <x:c r="L38" s="1"/>
    </x:row>
    <x:row r="39" ht="25" customHeight="1">
      <x:c r="A39" s="1"/>
      <x:c r="B39" s="2"/>
      <x:c r="C39" s="4"/>
      <x:c r="D39" s="4"/>
      <x:c r="E39" s="4"/>
      <x:c r="F39" s="4"/>
      <x:c r="G39" s="4"/>
      <x:c r="H39" s="4"/>
      <x:c r="I39" s="4"/>
      <x:c r="J39" s="2"/>
      <x:c r="K39" s="2"/>
      <x:c r="L39" s="1"/>
    </x:row>
    <x:row r="40" ht="25" customHeight="1">
      <x:c r="A40" s="1"/>
      <x:c r="B40" s="14" t="str">
        <x:v>Assumed opportunity value, CNY/hour / Active</x:v>
      </x:c>
      <x:c r="C40" s="15" t="n">
        <x:f>IF(CHOOSE($C$3,ISBLANK(C41),ISBLANK(C42)),"missing",CHOOSE($C$3,C41,C42))</x:f>
        <x:v>20</x:v>
      </x:c>
      <x:c r="D40" s="15" t="n">
        <x:f>IF(CHOOSE($C$3,ISBLANK(D41),ISBLANK(D42)),"missing",CHOOSE($C$3,D41,D42))</x:f>
        <x:v>20</x:v>
      </x:c>
      <x:c r="E40" s="15" t="n">
        <x:f>IF(CHOOSE($C$3,ISBLANK(E41),ISBLANK(E42)),"missing",CHOOSE($C$3,E41,E42))</x:f>
        <x:v>20</x:v>
      </x:c>
      <x:c r="F40" s="15" t="n">
        <x:f>IF(CHOOSE($C$3,ISBLANK(F41),ISBLANK(F42)),"missing",CHOOSE($C$3,F41,F42))</x:f>
        <x:v>20</x:v>
      </x:c>
      <x:c r="G40" s="15" t="n">
        <x:f>IF(CHOOSE($C$3,ISBLANK(G41),ISBLANK(G42)),"missing",CHOOSE($C$3,G41,G42))</x:f>
        <x:v>20</x:v>
      </x:c>
      <x:c r="H40" s="15" t="n">
        <x:f>IF(CHOOSE($C$3,ISBLANK(H41),ISBLANK(H42)),"missing",CHOOSE($C$3,H41,H42))</x:f>
        <x:v>20</x:v>
      </x:c>
      <x:c r="I40" s="4"/>
      <x:c r="J40" s="2"/>
      <x:c r="K40" s="2" t="str">
        <x:v>Time value is not wages paid or a cash expense.</x:v>
      </x:c>
      <x:c r="L40" s="1"/>
    </x:row>
    <x:row r="41" ht="25" customHeight="1">
      <x:c r="A41" s="1"/>
      <x:c r="B41" s="2" t="str">
        <x:v>Base / planning</x:v>
      </x:c>
      <x:c r="C41" s="16" t="n">
        <x:v>20</x:v>
      </x:c>
      <x:c r="D41" s="16" t="n">
        <x:v>20</x:v>
      </x:c>
      <x:c r="E41" s="16" t="n">
        <x:v>20</x:v>
      </x:c>
      <x:c r="F41" s="16" t="n">
        <x:v>20</x:v>
      </x:c>
      <x:c r="G41" s="16" t="n">
        <x:v>20</x:v>
      </x:c>
      <x:c r="H41" s="16" t="n">
        <x:v>20</x:v>
      </x:c>
      <x:c r="I41" s="4"/>
      <x:c r="J41" s="2"/>
      <x:c r="K41" s="2"/>
      <x:c r="L41" s="1"/>
    </x:row>
    <x:row r="42" ht="25" customHeight="1">
      <x:c r="A42" s="1"/>
      <x:c r="B42" s="2" t="str">
        <x:v>Downside / planning</x:v>
      </x:c>
      <x:c r="C42" s="16" t="n">
        <x:v>20</x:v>
      </x:c>
      <x:c r="D42" s="16" t="n">
        <x:v>20</x:v>
      </x:c>
      <x:c r="E42" s="16" t="n">
        <x:v>20</x:v>
      </x:c>
      <x:c r="F42" s="16" t="n">
        <x:v>20</x:v>
      </x:c>
      <x:c r="G42" s="16" t="n">
        <x:v>20</x:v>
      </x:c>
      <x:c r="H42" s="16" t="n">
        <x:v>20</x:v>
      </x:c>
      <x:c r="I42" s="4"/>
      <x:c r="J42" s="2"/>
      <x:c r="K42" s="2"/>
      <x:c r="L42" s="1"/>
    </x:row>
    <x:row r="43" ht="25" customHeight="1">
      <x:c r="A43" s="1"/>
      <x:c r="B43" s="2"/>
      <x:c r="C43" s="4"/>
      <x:c r="D43" s="4"/>
      <x:c r="E43" s="4"/>
      <x:c r="F43" s="4"/>
      <x:c r="G43" s="4"/>
      <x:c r="H43" s="4"/>
      <x:c r="I43" s="4"/>
      <x:c r="J43" s="2"/>
      <x:c r="K43" s="2"/>
      <x:c r="L43" s="1"/>
    </x:row>
    <x:row r="44" ht="25" customHeight="1">
      <x:c r="A44" s="1"/>
      <x:c r="B44" s="2"/>
      <x:c r="C44" s="4"/>
      <x:c r="D44" s="4"/>
      <x:c r="E44" s="4"/>
      <x:c r="F44" s="4"/>
      <x:c r="G44" s="4"/>
      <x:c r="H44" s="4"/>
      <x:c r="I44" s="4"/>
      <x:c r="J44" s="2"/>
      <x:c r="K44" s="2"/>
      <x:c r="L44" s="1"/>
    </x:row>
    <x:row r="45" ht="25" customHeight="1">
      <x:c r="A45" s="1"/>
      <x:c r="B45" s="2"/>
      <x:c r="C45" s="4"/>
      <x:c r="D45" s="4"/>
      <x:c r="E45" s="4"/>
      <x:c r="F45" s="4"/>
      <x:c r="G45" s="4"/>
      <x:c r="H45" s="4"/>
      <x:c r="I45" s="4"/>
      <x:c r="J45" s="2"/>
      <x:c r="K45" s="2"/>
      <x:c r="L45" s="1"/>
    </x:row>
    <x:row r="46" ht="25" customHeight="1">
      <x:c r="A46" s="1"/>
      <x:c r="B46" s="2" t="str">
        <x:v>Sources</x:v>
      </x:c>
      <x:c r="C46" s="4" t="str">
        <x:v>A1 model and Rita cohort estimate.</x:v>
      </x:c>
      <x:c r="D46" s="4"/>
      <x:c r="E46" s="4"/>
      <x:c r="F46" s="4"/>
      <x:c r="G46" s="4"/>
      <x:c r="H46" s="4"/>
      <x:c r="I46" s="4"/>
      <x:c r="J46" s="2"/>
      <x:c r="K46" s="2"/>
      <x:c r="L46" s="1"/>
    </x:row>
    <x:row r="47" ht="25" customHeight="1">
      <x:c r="A47" s="1"/>
      <x:c r="B47" s="2" t="str">
        <x:v>New forecast assumptions</x:v>
      </x:c>
      <x:c r="C47" s="4" t="str">
        <x:v>Team discussion required, 20 Oct 2026.</x:v>
      </x:c>
      <x:c r="D47" s="4"/>
      <x:c r="E47" s="4"/>
      <x:c r="F47" s="4"/>
      <x:c r="G47" s="4"/>
      <x:c r="H47" s="4"/>
      <x:c r="I47" s="4"/>
      <x:c r="J47" s="2"/>
      <x:c r="K47" s="2"/>
      <x:c r="L47" s="1"/>
    </x:row>
    <x:row r="48" ht="25" customHeight="1">
      <x:c r="A48" s="1"/>
      <x:c r="B48" s="2" t="str">
        <x:v>Assessment source</x:v>
      </x:c>
      <x:c r="C48" s="4" t="str">
        <x:v>ENT303TC - 2026-27 CW - FINAL.pdf, pp.13-17.</x:v>
      </x:c>
      <x:c r="D48" s="4"/>
      <x:c r="E48" s="4"/>
      <x:c r="F48" s="4"/>
      <x:c r="G48" s="4"/>
      <x:c r="H48" s="4"/>
      <x:c r="I48" s="4"/>
      <x:c r="J48" s="2"/>
      <x:c r="K48" s="2"/>
      <x:c r="L48" s="1"/>
    </x:row>
  </x:sheetData>
  <x:dataValidations count="1">
    <x:dataValidation type="list" sqref="C3">
      <x:formula1>"1,2"</x:formula1>
    </x:dataValidation>
  </x:dataValidations>
  <x:pageMargins left="0.7" right="0.7" top="0.75" bottom="0.75" header="0.3" footer="0.3"/>
</x:worksheet>
</file>