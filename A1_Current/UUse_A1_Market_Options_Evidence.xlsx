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cb4ec16c8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model" sheetId="1" r:id="Rbc8e8fd64f08437f"/>
    <x:sheet xmlns:r="http://schemas.openxmlformats.org/officeDocument/2006/relationships" name="Options" sheetId="2" r:id="Rf581ff79b1434f94"/>
    <x:sheet xmlns:r="http://schemas.openxmlformats.org/officeDocument/2006/relationships" name="Interview review" sheetId="3" r:id="R3c3705b6ea12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;(#,##0.0);&quot;-&quot;"/>
    <x:numFmt numFmtId="201" formatCode="#,##0&quot;+&quot;"/>
    <x:numFmt numFmtId="202" formatCode="0.0%"/>
    <x:numFmt numFmtId="203" formatCode="#,##0"/>
    <x:numFmt numFmtId="204" formatCode="0%"/>
    <x:numFmt numFmtId="205" formatCode="0"/>
    <x:numFmt numFmtId="206" formatCode="0.00"/>
    <x:numFmt numFmtId="207" formatCode="&quot;~&quot;#,##0"/>
  </x:numFmts>
  <x:fonts count="8">
    <x:font>
      <x:sz val="11"/>
      <x:name val="Carlito"/>
    </x:font>
    <x:font>
      <x:sz val="11"/>
      <x:color rgb="FF20322B"/>
      <x:name val="Arial"/>
    </x:font>
    <x:font>
      <x:b/>
      <x:sz val="16"/>
      <x:color rgb="FF20322B"/>
      <x:name val="Arial"/>
    </x:font>
    <x:font>
      <x:i/>
      <x:sz val="10"/>
      <x:color rgb="FF58635E"/>
      <x:name val="Arial"/>
    </x:font>
    <x:font>
      <x:sz val="11"/>
      <x:color rgb="FF000000"/>
      <x:name val="Arial"/>
    </x:font>
    <x:font>
      <x:b/>
      <x:sz val="11"/>
      <x:color rgb="FF20322B"/>
      <x:name val="Arial"/>
    </x:font>
    <x:font>
      <x:sz val="11"/>
      <x:color rgb="FF1756B3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0CE"/>
      </x:patternFill>
    </x:fill>
    <x:fill>
      <x:patternFill patternType="solid">
        <x:fgColor rgb="FFEFF5F1"/>
      </x:patternFill>
    </x:fill>
    <x:fill>
      <x:patternFill patternType="solid">
        <x:fgColor rgb="FF28634E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7" fontId="4" fillId="2" borderId="0" xfId="0" applyNumberFormat="1" applyFont="1" applyFill="1" applyBorder="1" applyAlignment="1">
      <x:alignment vertical="center"/>
    </x:xf>
    <x:xf numFmtId="207" fontId="4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A00000"/>
      </x:font>
      <x:fill>
        <x:patternFill>
          <x:bgColor rgb="FFFFE0E0"/>
        </x:patternFill>
      </x:fill>
    </x:dxf>
    <x:dxf>
      <x:font>
        <x:b/>
        <x:color rgb="FFA00000"/>
      </x:font>
      <x:fill>
        <x:patternFill>
          <x:bgColor rgb="FFFFE0E0"/>
        </x:patternFill>
      </x:fill>
    </x:dxf>
    <x:dxf>
      <x:font>
        <x:b/>
        <x:color rgb="FFA00000"/>
      </x:font>
      <x:fill>
        <x:patternFill>
          <x:bgColor rgb="FFFFE0E0"/>
        </x:patternFill>
      </x:fill>
    </x:dxf>
    <x:dxf>
      <x:font>
        <x:b/>
        <x:color rgb="FFA00000"/>
      </x:font>
      <x:fill>
        <x:patternFill>
          <x:bgColor rgb="FFFF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c9448b6ea4c5d" /><Relationship Type="http://schemas.openxmlformats.org/officeDocument/2006/relationships/theme" Target="/xl/theme/theme1.xml" Id="R243100c29393417d" /><Relationship Type="http://schemas.openxmlformats.org/officeDocument/2006/relationships/sharedStrings" Target="/xl/sharedStrings.xml" Id="R4d03c9c20afc474e" /><Relationship Type="http://schemas.openxmlformats.org/officeDocument/2006/relationships/worksheet" Target="/xl/worksheets/sheet1.xml" Id="Rbc8e8fd64f08437f" /><Relationship Type="http://schemas.openxmlformats.org/officeDocument/2006/relationships/worksheet" Target="/xl/worksheets/sheet2.xml" Id="Rf581ff79b1434f94" /><Relationship Type="http://schemas.openxmlformats.org/officeDocument/2006/relationships/worksheet" Target="/xl/worksheets/sheet3.xml" Id="R3c3705b6ea1245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634E"/>
  </x:sheetPr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4" hidden="0" customWidth="1"/>
    <x:col min="4" max="4" width="35" hidden="0" customWidth="1"/>
    <x:col min="5" max="5" width="26" hidden="0" customWidth="1"/>
    <x:col min="6" max="6" width="12" hidden="0" customWidth="1"/>
    <x:col min="7" max="7" width="19" hidden="0" customWidth="1"/>
    <x:col min="8" max="8" width="5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U Use four-week pilot model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Planning assumptions. No observed adoption, revenue or supplier quotes.</x:v>
      </x:c>
      <x:c r="B3" s="4"/>
      <x:c r="C3" s="4"/>
      <x:c r="D3" s="4"/>
      <x:c r="E3" s="4"/>
      <x:c r="F3" s="4"/>
      <x:c r="G3" s="4"/>
      <x:c r="H3" s="4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2" t="str">
        <x:v>Institutional universe, lower bound</x:v>
      </x:c>
      <x:c r="B5" s="7" t="n">
        <x:f>B16</x:f>
        <x:v>26000</x:v>
      </x:c>
      <x:c r="C5" s="2"/>
      <x:c r="D5" s="2" t="str">
        <x:v>Illustrative later 5% fee, CNY</x:v>
      </x:c>
      <x:c r="E5" s="6" t="n">
        <x:f>IF(COUNT(B11,B26)&lt;&gt;2,"Missing later fee input",IF(AND(B26&gt;=0,B26&lt;=1),B11*B26,"Invalid later fee"))</x:f>
        <x:v>1</x:v>
      </x:c>
      <x:c r="F5" s="2"/>
      <x:c r="G5" s="2"/>
      <x:c r="H5" s="2"/>
    </x:row>
    <x:row r="6" ht="24" customHeight="1">
      <x:c r="A6" s="2" t="str">
        <x:v>DTS cohort, students (approx.)</x:v>
      </x:c>
      <x:c r="B6" s="29" t="n">
        <x:f>IF(COUNT(B35)=1,IF(B35&gt;=0,B35,"Invalid total"),IF(COUNT(G18:G25)=B17,SUM(G18:G25),"Cohort total pending"))</x:f>
        <x:v>430</x:v>
      </x:c>
      <x:c r="C6" s="2"/>
      <x:c r="D6" s="2" t="str">
        <x:v>Later cash contribution, CNY</x:v>
      </x:c>
      <x:c r="E6" s="6" t="n">
        <x:f>IF(COUNT(E5,B13)&lt;&gt;2,"Missing cash totals",E5-B13)</x:f>
        <x:v>-179</x:v>
      </x:c>
      <x:c r="F6" s="2"/>
      <x:c r="G6" s="2"/>
      <x:c r="H6" s="2"/>
    </x:row>
    <x:row r="7" ht="24" customHeight="1">
      <x:c r="A7" s="2" t="str">
        <x:v>Potential requester invites</x:v>
      </x:c>
      <x:c r="B7" s="6" t="n">
        <x:f>IF(COUNT(B17:B18)&lt;&gt;2,"Missing invite input",IF(MIN(B17:B18)&lt;0,"Invalid invite input",B17*B18))</x:f>
        <x:v>80</x:v>
      </x:c>
      <x:c r="C7" s="2"/>
      <x:c r="D7" s="2" t="str">
        <x:v>Team time, hours</x:v>
      </x:c>
      <x:c r="E7" s="6" t="n">
        <x:f>IF(COUNT(B31:B33)&lt;&gt;3,"Missing time input",IF(MIN(B31:B33)&lt;0,"Invalid time input",B31*B32*B33))</x:f>
        <x:v>56</x:v>
      </x:c>
      <x:c r="F7" s="2"/>
      <x:c r="G7" s="2"/>
      <x:c r="H7" s="2"/>
    </x:row>
    <x:row r="8" ht="24" customHeight="1">
      <x:c r="A8" s="2" t="str">
        <x:v>Requests posted, expected</x:v>
      </x:c>
      <x:c r="B8" s="6" t="n">
        <x:f>IF(COUNT(B7,B19)&lt;&gt;2,"Missing request input",IF(AND(B19&gt;=0,B19&lt;=1),B7*B19,"Invalid posting rate"))</x:f>
        <x:v>8</x:v>
      </x:c>
      <x:c r="C8" s="2"/>
      <x:c r="D8" s="2" t="str">
        <x:v>Time opportunity cost, CNY</x:v>
      </x:c>
      <x:c r="E8" s="6" t="n">
        <x:f>IF(COUNT(E7,B34)&lt;&gt;2,"Missing time value",IF(B34&lt;0,"Invalid time value",E7*B34))</x:f>
        <x:v>1120</x:v>
      </x:c>
      <x:c r="F8" s="2"/>
      <x:c r="G8" s="2"/>
      <x:c r="H8" s="2"/>
    </x:row>
    <x:row r="9" ht="24" customHeight="1">
      <x:c r="A9" s="2" t="str">
        <x:v>Supply capacity, fulfilments</x:v>
      </x:c>
      <x:c r="B9" s="6" t="n">
        <x:f>IF(COUNT(B21:B22)&lt;&gt;2,"Missing capacity input",IF(MIN(B21:B22)&lt;0,"Invalid capacity input",B21*B22))</x:f>
        <x:v>8</x:v>
      </x:c>
      <x:c r="C9" s="2"/>
      <x:c r="D9" s="2" t="str">
        <x:v>Later contribution after time, CNY</x:v>
      </x:c>
      <x:c r="E9" s="6" t="n">
        <x:f>IF(COUNT(E6,E8)&lt;&gt;2,"Missing contribution totals",E6-E8)</x:f>
        <x:v>-1299</x:v>
      </x:c>
      <x:c r="F9" s="2"/>
      <x:c r="G9" s="2"/>
      <x:c r="H9" s="2"/>
    </x:row>
    <x:row r="10" ht="24" customHeight="1">
      <x:c r="A10" s="2" t="str">
        <x:v>Completed requests, expected</x:v>
      </x:c>
      <x:c r="B10" s="6" t="n">
        <x:f>IF(COUNT(B17:B22)&lt;&gt;6,"Missing pilot input",IF(AND(MIN(B17:B22)&gt;=0,B19&lt;=1,B20&lt;=1),MIN(B8*B20,B9),"Invalid pilot input"))</x:f>
        <x:v>2</x:v>
      </x:c>
      <x:c r="C10" s="2"/>
      <x:c r="D10" s="2"/>
      <x:c r="E10" s="2"/>
      <x:c r="F10" s="2"/>
      <x:c r="G10" s="2"/>
      <x:c r="H10" s="2"/>
    </x:row>
    <x:row r="11" ht="24" customHeight="1">
      <x:c r="A11" s="2" t="str">
        <x:v>Paid GMV, CNY</x:v>
      </x:c>
      <x:c r="B11" s="6" t="n">
        <x:f>IF(COUNT(B10,B23:B24)&lt;&gt;3,"Missing GMV input",IF(AND(B23&gt;=0,B23&lt;=1,B24&gt;=0),B10*B23*B24,"Invalid GMV input"))</x:f>
        <x:v>20</x:v>
      </x:c>
      <x:c r="C11" s="2"/>
      <x:c r="D11" s="2" t="str">
        <x:v>Invite count vs cohort</x:v>
      </x:c>
      <x:c r="E11" s="5" t="str">
        <x:f>IF(ISNUMBER(B6),IF(B7&gt;B6,"Invites exceed cohort","Within reported cohort"),"Check cohort total")</x:f>
        <x:v>Within reported cohort</x:v>
      </x:c>
      <x:c r="F11" s="2"/>
      <x:c r="G11" s="2"/>
      <x:c r="H11" s="2"/>
    </x:row>
    <x:row r="12" ht="24" customHeight="1">
      <x:c r="A12" s="2" t="str">
        <x:v>Pilot platform revenue, CNY</x:v>
      </x:c>
      <x:c r="B12" s="6" t="n">
        <x:f>IF(COUNT(B11,B25)&lt;&gt;2,"Missing revenue input",IF(AND(B25&gt;=0,B25&lt;=1),B11*B25,"Invalid pilot fee"))</x:f>
        <x:v>0</x:v>
      </x:c>
      <x:c r="C12" s="2"/>
      <x:c r="D12" s="2" t="str">
        <x:v>Recruitment permission</x:v>
      </x:c>
      <x:c r="E12" s="2" t="str">
        <x:v>To confirm</x:v>
      </x:c>
      <x:c r="F12" s="2"/>
      <x:c r="G12" s="2"/>
      <x:c r="H12" s="2"/>
    </x:row>
    <x:row r="13" ht="24" customHeight="1">
      <x:c r="A13" s="2" t="str">
        <x:v>Planned cash cost, CNY</x:v>
      </x:c>
      <x:c r="B13" s="6" t="n">
        <x:f>IF(COUNT(B27:B30)&lt;&gt;4,"Missing cash cost input",IF(MIN(B27:B30)&lt;0,"Invalid cash cost",SUM(B27:B30)))</x:f>
        <x:v>180</x:v>
      </x:c>
      <x:c r="C13" s="2"/>
      <x:c r="D13" s="2"/>
      <x:c r="E13" s="2"/>
      <x:c r="F13" s="2"/>
      <x:c r="G13" s="2"/>
      <x:c r="H13" s="2"/>
    </x:row>
    <x:row r="14" ht="24" customHeight="1">
      <x:c r="A14" s="2" t="str">
        <x:v>Pilot cash contribution, CNY</x:v>
      </x:c>
      <x:c r="B14" s="6" t="n">
        <x:f>IF(COUNT(B12:B13)&lt;&gt;2,"Missing pilot totals",B12-B13)</x:f>
        <x:v>-180</x:v>
      </x:c>
      <x:c r="C14" s="2"/>
      <x:c r="D14" s="2"/>
      <x:c r="E14" s="2"/>
      <x:c r="F14" s="2"/>
      <x:c r="G14" s="2"/>
      <x:c r="H14" s="2"/>
    </x:row>
    <x:row r="15" ht="24" customHeight="1">
      <x:c r="A15" s="10" t="str">
        <x:v>Editable inputs</x:v>
      </x:c>
      <x:c r="B15" s="10"/>
      <x:c r="C15" s="2"/>
      <x:c r="D15" s="2"/>
      <x:c r="E15" s="2"/>
      <x:c r="F15" s="2"/>
      <x:c r="G15" s="2"/>
      <x:c r="H15" s="2"/>
    </x:row>
    <x:row r="16" ht="24" customHeight="1">
      <x:c r="A16" s="2" t="str">
        <x:v>Institutional students, lower bound</x:v>
      </x:c>
      <x:c r="B16" s="15" t="n">
        <x:v>26000</x:v>
      </x:c>
      <x:c r="C16" s="2"/>
      <x:c r="D16" s="13" t="str">
        <x:v>S1. Institution-wide, not verified local demand.</x:v>
      </x:c>
      <x:c r="E16" s="13"/>
      <x:c r="F16" s="13"/>
      <x:c r="G16" s="13" t="str">
        <x:v>Per-class detail</x:v>
      </x:c>
      <x:c r="H16" s="13"/>
    </x:row>
    <x:row r="17" ht="24" customHeight="1">
      <x:c r="A17" s="2" t="str">
        <x:v>DTS classes in proposed pilot</x:v>
      </x:c>
      <x:c r="B17" s="15" t="n">
        <x:v>8</x:v>
      </x:c>
      <x:c r="C17" s="2"/>
      <x:c r="D17" s="13" t="str">
        <x:v>T1. Scope confirmed. Recruitment permission pending.</x:v>
      </x:c>
      <x:c r="E17" s="13"/>
      <x:c r="F17" s="13"/>
      <x:c r="G17" s="13"/>
      <x:c r="H17" s="13"/>
    </x:row>
    <x:row r="18" ht="24" customHeight="1">
      <x:c r="A18" s="2" t="str">
        <x:v>Invites per class</x:v>
      </x:c>
      <x:c r="B18" s="15" t="n">
        <x:v>10</x:v>
      </x:c>
      <x:c r="C18" s="2"/>
      <x:c r="D18" s="13" t="str">
        <x:v>P1. Invite target, not verified reach.</x:v>
      </x:c>
      <x:c r="E18" s="13"/>
      <x:c r="F18" s="13" t="str">
        <x:v>Class 1</x:v>
      </x:c>
      <x:c r="G18" s="16"/>
      <x:c r="H18" s="13" t="str">
        <x:v>Optional per-class breakdown. Do not invent counts.</x:v>
      </x:c>
    </x:row>
    <x:row r="19" ht="24" customHeight="1">
      <x:c r="A19" s="2" t="str">
        <x:v>Invitees posting a request</x:v>
      </x:c>
      <x:c r="B19" s="14" t="n">
        <x:v>0.1</x:v>
      </x:c>
      <x:c r="C19" s="2"/>
      <x:c r="D19" s="13" t="str">
        <x:v>P1. Planning rate, not the interview sample.</x:v>
      </x:c>
      <x:c r="E19" s="13"/>
      <x:c r="F19" s="13" t="str">
        <x:v>Class 2</x:v>
      </x:c>
      <x:c r="G19" s="16"/>
      <x:c r="H19" s="13" t="str">
        <x:v>Use the approximate aggregate in B35 until updated.</x:v>
      </x:c>
    </x:row>
    <x:row r="20" ht="24" customHeight="1">
      <x:c r="A20" s="2" t="str">
        <x:v>Posted requests completing</x:v>
      </x:c>
      <x:c r="B20" s="14" t="n">
        <x:v>0.25</x:v>
      </x:c>
      <x:c r="C20" s="2"/>
      <x:c r="D20" s="13" t="str">
        <x:v>P1. Planning fulfilment rate.</x:v>
      </x:c>
      <x:c r="E20" s="13"/>
      <x:c r="F20" s="13" t="str">
        <x:v>Class 3</x:v>
      </x:c>
      <x:c r="G20" s="16"/>
      <x:c r="H20" s="13" t="str">
        <x:v>80 invites are a planning target, not a class size.</x:v>
      </x:c>
    </x:row>
    <x:row r="21" ht="24" customHeight="1">
      <x:c r="A21" s="2" t="str">
        <x:v>Responsive item owners</x:v>
      </x:c>
      <x:c r="B21" s="20" t="n">
        <x:v>4</x:v>
      </x:c>
      <x:c r="C21" s="2"/>
      <x:c r="D21" s="13" t="str">
        <x:v>P1. No committed owners have been counted.</x:v>
      </x:c>
      <x:c r="E21" s="13"/>
      <x:c r="F21" s="13" t="str">
        <x:v>Class 4</x:v>
      </x:c>
      <x:c r="G21" s="16"/>
      <x:c r="H21" s="13" t="str">
        <x:v>Recruitment permission remains unconfirmed.</x:v>
      </x:c>
    </x:row>
    <x:row r="22" ht="24" customHeight="1">
      <x:c r="A22" s="2" t="str">
        <x:v>Fulfilments per owner</x:v>
      </x:c>
      <x:c r="B22" s="15" t="n">
        <x:v>2</x:v>
      </x:c>
      <x:c r="C22" s="2"/>
      <x:c r="D22" s="13" t="str">
        <x:v>P1. Four-week item/date capacity assumption.</x:v>
      </x:c>
      <x:c r="E22" s="13"/>
      <x:c r="F22" s="13" t="str">
        <x:v>Class 5</x:v>
      </x:c>
      <x:c r="G22" s="16"/>
      <x:c r="H22" s="13"/>
    </x:row>
    <x:row r="23" ht="24" customHeight="1">
      <x:c r="A23" s="2" t="str">
        <x:v>Fee-bearing share of completions</x:v>
      </x:c>
      <x:c r="B23" s="14" t="n">
        <x:v>0.5</x:v>
      </x:c>
      <x:c r="C23" s="2"/>
      <x:c r="D23" s="13" t="str">
        <x:v>P1. Free borrowing and swaps excluded from GMV.</x:v>
      </x:c>
      <x:c r="E23" s="13"/>
      <x:c r="F23" s="13" t="str">
        <x:v>Class 6</x:v>
      </x:c>
      <x:c r="G23" s="16"/>
      <x:c r="H23" s="13"/>
    </x:row>
    <x:row r="24" ht="24" customHeight="1">
      <x:c r="A24" s="2" t="str">
        <x:v>Consideration per paid completion, CNY</x:v>
      </x:c>
      <x:c r="B24" s="12" t="n">
        <x:v>20</x:v>
      </x:c>
      <x:c r="C24" s="2"/>
      <x:c r="D24" s="13" t="str">
        <x:v>P1. Refundable deposits excluded.</x:v>
      </x:c>
      <x:c r="E24" s="13"/>
      <x:c r="F24" s="13" t="str">
        <x:v>Class 7</x:v>
      </x:c>
      <x:c r="G24" s="16"/>
      <x:c r="H24" s="13"/>
    </x:row>
    <x:row r="25" ht="24" customHeight="1">
      <x:c r="A25" s="2" t="str">
        <x:v>Pilot platform fee</x:v>
      </x:c>
      <x:c r="B25" s="14" t="n">
        <x:v>0</x:v>
      </x:c>
      <x:c r="C25" s="2"/>
      <x:c r="D25" s="13" t="str">
        <x:v>P1. Free pilot. This is a real assumed zero, not missing data.</x:v>
      </x:c>
      <x:c r="E25" s="13"/>
      <x:c r="F25" s="13" t="str">
        <x:v>Class 8</x:v>
      </x:c>
      <x:c r="G25" s="16"/>
      <x:c r="H25" s="13"/>
    </x:row>
    <x:row r="26" ht="24" customHeight="1">
      <x:c r="A26" s="2" t="str">
        <x:v>Illustrative later platform fee</x:v>
      </x:c>
      <x:c r="B26" s="14" t="n">
        <x:v>0.05</x:v>
      </x:c>
      <x:c r="C26" s="2"/>
      <x:c r="D26" s="13" t="str">
        <x:v>P1. Unvalidated, not an implemented payment feature.</x:v>
      </x:c>
      <x:c r="E26" s="13"/>
      <x:c r="F26" s="13"/>
      <x:c r="G26" s="13"/>
      <x:c r="H26" s="13"/>
    </x:row>
    <x:row r="27" ht="24" customHeight="1">
      <x:c r="A27" s="2" t="str">
        <x:v>Hosting cash allocation, CNY</x:v>
      </x:c>
      <x:c r="B27" s="12" t="n">
        <x:v>60</x:v>
      </x:c>
      <x:c r="C27" s="2"/>
      <x:c r="D27" s="13" t="str">
        <x:v>P1. Budget assumption, not a provider quote.</x:v>
      </x:c>
      <x:c r="E27" s="13"/>
      <x:c r="F27" s="13"/>
      <x:c r="G27" s="13"/>
      <x:c r="H27" s="13"/>
    </x:row>
    <x:row r="28" ht="24" customHeight="1">
      <x:c r="A28" s="2" t="str">
        <x:v>Email cash allocation, CNY</x:v>
      </x:c>
      <x:c r="B28" s="12" t="n">
        <x:v>20</x:v>
      </x:c>
      <x:c r="C28" s="2"/>
      <x:c r="D28" s="13" t="str">
        <x:v>P1. Budget assumption.</x:v>
      </x:c>
      <x:c r="E28" s="13"/>
      <x:c r="F28" s="13"/>
      <x:c r="G28" s="13"/>
      <x:c r="H28" s="13"/>
    </x:row>
    <x:row r="29" ht="24" customHeight="1">
      <x:c r="A29" s="2" t="str">
        <x:v>Materials cash allocation, CNY</x:v>
      </x:c>
      <x:c r="B29" s="12" t="n">
        <x:v>50</x:v>
      </x:c>
      <x:c r="C29" s="2"/>
      <x:c r="D29" s="13" t="str">
        <x:v>P1. Budget assumption.</x:v>
      </x:c>
      <x:c r="E29" s="13"/>
      <x:c r="F29" s="13"/>
      <x:c r="G29" s="13"/>
      <x:c r="H29" s="13"/>
    </x:row>
    <x:row r="30" ht="24" customHeight="1">
      <x:c r="A30" s="2" t="str">
        <x:v>Contingency cash allocation, CNY</x:v>
      </x:c>
      <x:c r="B30" s="12" t="n">
        <x:v>50</x:v>
      </x:c>
      <x:c r="C30" s="2"/>
      <x:c r="D30" s="13" t="str">
        <x:v>P1. Budget assumption.</x:v>
      </x:c>
      <x:c r="E30" s="13"/>
      <x:c r="F30" s="13"/>
      <x:c r="G30" s="13"/>
      <x:c r="H30" s="13"/>
    </x:row>
    <x:row r="31" ht="24" customHeight="1">
      <x:c r="A31" s="2" t="str">
        <x:v>Team members</x:v>
      </x:c>
      <x:c r="B31" s="15" t="n">
        <x:v>7</x:v>
      </x:c>
      <x:c r="C31" s="2"/>
      <x:c r="D31" s="13" t="str">
        <x:v>T1. User-supplied roster.</x:v>
      </x:c>
      <x:c r="E31" s="13"/>
      <x:c r="F31" s="13"/>
      <x:c r="G31" s="13"/>
      <x:c r="H31" s="13"/>
    </x:row>
    <x:row r="32" ht="24" customHeight="1">
      <x:c r="A32" s="2" t="str">
        <x:v>Hours per member per week</x:v>
      </x:c>
      <x:c r="B32" s="15" t="n">
        <x:v>2</x:v>
      </x:c>
      <x:c r="C32" s="2"/>
      <x:c r="D32" s="13" t="str">
        <x:v>P1. Planned effort, not completed contribution.</x:v>
      </x:c>
      <x:c r="E32" s="13"/>
      <x:c r="F32" s="13"/>
      <x:c r="G32" s="13"/>
      <x:c r="H32" s="13"/>
    </x:row>
    <x:row r="33" ht="24" customHeight="1">
      <x:c r="A33" s="2" t="str">
        <x:v>Pilot duration, weeks</x:v>
      </x:c>
      <x:c r="B33" s="15" t="n">
        <x:v>4</x:v>
      </x:c>
      <x:c r="C33" s="2"/>
      <x:c r="D33" s="13" t="str">
        <x:v>P1. Follow-on pilot after A1, dates to agree.</x:v>
      </x:c>
      <x:c r="E33" s="13"/>
      <x:c r="F33" s="13"/>
      <x:c r="G33" s="13"/>
      <x:c r="H33" s="13"/>
    </x:row>
    <x:row r="34" ht="24" customHeight="1">
      <x:c r="A34" s="2" t="str">
        <x:v>Time value, CNY per hour</x:v>
      </x:c>
      <x:c r="B34" s="12" t="n">
        <x:v>20</x:v>
      </x:c>
      <x:c r="C34" s="2"/>
      <x:c r="D34" s="13" t="str">
        <x:v>P1. Opportunity cost, not paid wages.</x:v>
      </x:c>
      <x:c r="E34" s="13"/>
      <x:c r="F34" s="13"/>
      <x:c r="G34" s="13"/>
      <x:c r="H34" s="13"/>
    </x:row>
    <x:row r="35" ht="24" customHeight="1">
      <x:c r="A35" s="2" t="str">
        <x:v>Reported DTS cohort, students (approx.)</x:v>
      </x:c>
      <x:c r="B35" s="15" t="n">
        <x:v>430</x:v>
      </x:c>
      <x:c r="C35" s="2"/>
      <x:c r="D35" s="2" t="str">
        <x:v>Rita, 19 Oct 2026: about 430 students across eight DTS classes.</x:v>
      </x:c>
      <x:c r="E35" s="2"/>
      <x:c r="F35" s="2"/>
      <x:c r="G35" s="2"/>
      <x:c r="H35" s="2"/>
    </x:row>
    <x:row r="36" ht="24" customHeight="1">
      <x:c r="A36" s="2" t="str">
        <x:v>Sources</x:v>
      </x:c>
      <x:c r="B36" s="2"/>
      <x:c r="C36" s="2"/>
      <x:c r="D36" s="2" t="str">
        <x:v>XJTLU Overview &amp; Key Facts. https://www.xjtlu.edu.cn/en/overview . Accessed 15 October 2026. Institutional figure updated May 2026.</x:v>
      </x:c>
      <x:c r="E36" s="2"/>
      <x:c r="F36" s="2"/>
      <x:c r="G36" s="2"/>
      <x:c r="H36" s="2"/>
    </x:row>
    <x:row r="37" ht="24" customHeight="1">
      <x:c r="A37" s="2"/>
      <x:c r="B37" s="2"/>
      <x:c r="C37" s="2"/>
      <x:c r="D37" s="2" t="str">
        <x:v>T1. Rita: eight DTS classes. The approximate cohort source is beside B35.</x:v>
      </x:c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</x:sheetData>
  <x:conditionalFormatting sqref="B19:B20">
    <x:cfRule type="cellIs" dxfId="0" priority="1" operator="notBetween">
      <x:formula>0</x:formula>
      <x:formula>1</x:formula>
    </x:cfRule>
  </x:conditionalFormatting>
  <x:conditionalFormatting sqref="B23:B23">
    <x:cfRule type="cellIs" dxfId="1" priority="2" operator="notBetween">
      <x:formula>0</x:formula>
      <x:formula>1</x:formula>
    </x:cfRule>
  </x:conditionalFormatting>
  <x:conditionalFormatting sqref="B25:B25">
    <x:cfRule type="cellIs" dxfId="2" priority="3" operator="notBetween">
      <x:formula>0</x:formula>
      <x:formula>1</x:formula>
    </x:cfRule>
  </x:conditionalFormatting>
  <x:conditionalFormatting sqref="B26:B26">
    <x:cfRule type="cellIs" dxfId="3" priority="4" operator="notBetween">
      <x:formula>0</x:formula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18077"/>
  </x:sheetPr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62" hidden="0" customWidth="1"/>
    <x:col min="7" max="7" width="19" hidden="0" customWidth="1"/>
    <x:col min="8" max="8" width="5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Concept comparison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Proposed planning judgments, 1-5. No user ratings or validated demand scores.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26" t="str">
        <x:v>Criterion</x:v>
      </x:c>
      <x:c r="B5" s="26" t="str">
        <x:v>Weight</x:v>
      </x:c>
      <x:c r="C5" s="26" t="str">
        <x:v>Manual bulletin</x:v>
      </x:c>
      <x:c r="D5" s="26" t="str">
        <x:v>Managed pool</x:v>
      </x:c>
      <x:c r="E5" s="26" t="str">
        <x:v>U Use</x:v>
      </x:c>
      <x:c r="F5" s="26" t="str">
        <x:v>Scoring rationale</x:v>
      </x:c>
      <x:c r="G5" s="2"/>
      <x:c r="H5" s="2"/>
    </x:row>
    <x:row r="6" ht="24" customHeight="1">
      <x:c r="A6" s="2" t="str">
        <x:v>Scheduling fit</x:v>
      </x:c>
      <x:c r="B6" s="18" t="n">
        <x:v>0.3</x:v>
      </x:c>
      <x:c r="C6" s="20" t="n">
        <x:v>2</x:v>
      </x:c>
      <x:c r="D6" s="20" t="n">
        <x:v>4</x:v>
      </x:c>
      <x:c r="E6" s="20" t="n">
        <x:v>4</x:v>
      </x:c>
      <x:c r="F6" s="2" t="str">
        <x:v>Can the model organise usable dates and confirmations?</x:v>
      </x:c>
      <x:c r="G6" s="2"/>
      <x:c r="H6" s="2"/>
    </x:row>
    <x:row r="7" ht="24" customHeight="1">
      <x:c r="A7" s="2" t="str">
        <x:v>Low operating burden</x:v>
      </x:c>
      <x:c r="B7" s="18" t="n">
        <x:v>0.25</x:v>
      </x:c>
      <x:c r="C7" s="20" t="n">
        <x:v>5</x:v>
      </x:c>
      <x:c r="D7" s="20" t="n">
        <x:v>1</x:v>
      </x:c>
      <x:c r="E7" s="20" t="n">
        <x:v>4</x:v>
      </x:c>
      <x:c r="F7" s="2" t="str">
        <x:v>Can seven students operate it without holding stock?</x:v>
      </x:c>
      <x:c r="G7" s="2"/>
      <x:c r="H7" s="2"/>
    </x:row>
    <x:row r="8" ht="24" customHeight="1">
      <x:c r="A8" s="2" t="str">
        <x:v>Technical feasibility</x:v>
      </x:c>
      <x:c r="B8" s="18" t="n">
        <x:v>0.25</x:v>
      </x:c>
      <x:c r="C8" s="20" t="n">
        <x:v>5</x:v>
      </x:c>
      <x:c r="D8" s="20" t="n">
        <x:v>2</x:v>
      </x:c>
      <x:c r="E8" s="20" t="n">
        <x:v>4</x:v>
      </x:c>
      <x:c r="F8" s="2" t="str">
        <x:v>Can the team deliver and maintain the workflow?</x:v>
      </x:c>
      <x:c r="G8" s="2"/>
      <x:c r="H8" s="2"/>
    </x:row>
    <x:row r="9" ht="24" customHeight="1">
      <x:c r="A9" s="2" t="str">
        <x:v>Privacy control</x:v>
      </x:c>
      <x:c r="B9" s="18" t="n">
        <x:v>0.1</x:v>
      </x:c>
      <x:c r="C9" s="20" t="n">
        <x:v>2</x:v>
      </x:c>
      <x:c r="D9" s="20" t="n">
        <x:v>4</x:v>
      </x:c>
      <x:c r="E9" s="20" t="n">
        <x:v>4</x:v>
      </x:c>
      <x:c r="F9" s="2" t="str">
        <x:v>Can a participant decline location and limit exposure?</x:v>
      </x:c>
      <x:c r="G9" s="2"/>
      <x:c r="H9" s="2"/>
    </x:row>
    <x:row r="10" ht="24" customHeight="1">
      <x:c r="A10" s="2" t="str">
        <x:v>Supply acquisition</x:v>
      </x:c>
      <x:c r="B10" s="18" t="n">
        <x:v>0.1</x:v>
      </x:c>
      <x:c r="C10" s="20" t="n">
        <x:v>3</x:v>
      </x:c>
      <x:c r="D10" s="20" t="n">
        <x:v>2</x:v>
      </x:c>
      <x:c r="E10" s="20" t="n">
        <x:v>2</x:v>
      </x:c>
      <x:c r="F10" s="2" t="str">
        <x:v>How much effort is needed to recruit suitable supply?</x:v>
      </x:c>
      <x:c r="G10" s="2"/>
      <x:c r="H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24" customHeight="1">
      <x:c r="A12" s="2" t="str">
        <x:v>Weighted result</x:v>
      </x:c>
      <x:c r="B12" s="21" t="n">
        <x:f>SUM(B6:B10)</x:f>
        <x:v>1</x:v>
      </x:c>
      <x:c r="C12" s="22" t="n">
        <x:f>SUMPRODUCT($B$6:$B$10,C6:C10)</x:f>
        <x:v>3.6000000000000005</x:v>
      </x:c>
      <x:c r="D12" s="22" t="n">
        <x:f>SUMPRODUCT($B$6:$B$10,D6:D10)</x:f>
        <x:v>2.5500000000000003</x:v>
      </x:c>
      <x:c r="E12" s="22" t="n">
        <x:f>SUMPRODUCT($B$6:$B$10,E6:E10)</x:f>
        <x:v>3.8000000000000003</x:v>
      </x:c>
      <x:c r="F12" s="2"/>
      <x:c r="G12" s="2"/>
      <x:c r="H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2" t="str">
        <x:v>Sensitivity to operating burden</x:v>
      </x:c>
      <x:c r="B15" s="2"/>
      <x:c r="C15" s="2"/>
      <x:c r="D15" s="2"/>
      <x:c r="E15" s="2"/>
      <x:c r="F15" s="2"/>
      <x:c r="G15" s="2"/>
      <x:c r="H15" s="2"/>
    </x:row>
    <x:row r="16" ht="24" customHeight="1">
      <x:c r="A16" s="2" t="str">
        <x:v>Move 15 points from scheduling to operating burden.</x:v>
      </x:c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 t="str">
        <x:v>Alternative weighted result</x:v>
      </x:c>
      <x:c r="B18" s="2"/>
      <x:c r="C18" s="22" t="n">
        <x:f>C12-0.15*C6+0.15*C7</x:f>
        <x:v>4.050000000000001</x:v>
      </x:c>
      <x:c r="D18" s="22" t="n">
        <x:f>D12-0.15*D6+0.15*D7</x:f>
        <x:v>2.1</x:v>
      </x:c>
      <x:c r="E18" s="22" t="n">
        <x:f>E12-0.15*E6+0.15*E7</x:f>
        <x:v>3.8000000000000003</x:v>
      </x:c>
      <x:c r="F18" s="2"/>
      <x:c r="G18" s="2"/>
      <x:c r="H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" t="str">
        <x:v>A. Manual bulletin</x:v>
      </x:c>
      <x:c r="B21" s="2"/>
      <x:c r="C21" s="2" t="str">
        <x:v>Messages coordinate items. No managed inventory.</x:v>
      </x:c>
      <x:c r="D21" s="2"/>
      <x:c r="E21" s="2"/>
      <x:c r="F21" s="2"/>
      <x:c r="G21" s="2"/>
      <x:c r="H21" s="2"/>
    </x:row>
    <x:row r="22" ht="24" customHeight="1">
      <x:c r="A22" s="2" t="str">
        <x:v>B. Managed item pool</x:v>
      </x:c>
      <x:c r="B22" s="2"/>
      <x:c r="C22" s="2" t="str">
        <x:v>The operator manages stock, inspection and storage.</x:v>
      </x:c>
      <x:c r="D22" s="2"/>
      <x:c r="E22" s="2"/>
      <x:c r="F22" s="2"/>
      <x:c r="G22" s="2"/>
      <x:c r="H22" s="2"/>
    </x:row>
    <x:row r="23" ht="24" customHeight="1">
      <x:c r="A23" s="2" t="str">
        <x:v>C. U Use peer access</x:v>
      </x:c>
      <x:c r="B23" s="2"/>
      <x:c r="C23" s="2" t="str">
        <x:v>Owners retain items. The service coordinates requests and dated bookings.</x:v>
      </x:c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 t="str">
        <x:v>The initial score advantage is small. The fallback remains a manual bulletin.</x:v>
      </x:c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17" hidden="0" customWidth="1"/>
    <x:col min="4" max="4" width="18" hidden="0" customWidth="1"/>
    <x:col min="5" max="5" width="25" hidden="0" customWidth="1"/>
    <x:col min="6" max="6" width="25" hidden="0" customWidth="1"/>
    <x:col min="7" max="7" width="55" hidden="0" customWidth="1"/>
    <x:col min="8" max="8" width="5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Interview summaries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Team-provided summaries, reconfirmed by Rita on 18 October 2026. Edited paraphrases, not direct quotations.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 t="str">
        <x:v>Log the research dates and source-record links. These summaries do not measure conversion or task success.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0" customHeight="1">
      <x:c r="A6" s="26" t="str">
        <x:v>ID</x:v>
      </x:c>
      <x:c r="B6" s="26" t="str">
        <x:v>Item</x:v>
      </x:c>
      <x:c r="C6" s="26" t="str">
        <x:v>Context</x:v>
      </x:c>
      <x:c r="D6" s="26" t="str">
        <x:v>Perspective</x:v>
      </x:c>
      <x:c r="E6" s="26" t="str">
        <x:v>Stated frequency</x:v>
      </x:c>
      <x:c r="F6" s="26" t="str">
        <x:v>Conditional response</x:v>
      </x:c>
      <x:c r="G6" s="26" t="str">
        <x:v>Editorial summary</x:v>
      </x:c>
      <x:c r="H6" s="26" t="str">
        <x:v>Existing alternative</x:v>
      </x:c>
    </x:row>
    <x:row r="7" ht="66" customHeight="1">
      <x:c r="A7" s="23" t="str">
        <x:v>V001</x:v>
      </x:c>
      <x:c r="B7" s="23" t="str">
        <x:v>Calculator</x:v>
      </x:c>
      <x:c r="C7" s="23" t="str">
        <x:v>XEC / Y2</x:v>
      </x:c>
      <x:c r="D7" s="23" t="str">
        <x:v>Borrower</x:v>
      </x:c>
      <x:c r="E7" s="23" t="str">
        <x:v>1-2 per term</x:v>
      </x:c>
      <x:c r="F7" s="23" t="str">
        <x:v>Try conditionally</x:v>
      </x:c>
      <x:c r="G7" s="23" t="str">
        <x:v>Dates must reflect actual supply. Show deposits before the request.</x:v>
      </x:c>
      <x:c r="H7" s="23" t="str">
        <x:v>Ask classmates first.</x:v>
      </x:c>
    </x:row>
    <x:row r="8" ht="66" customHeight="1">
      <x:c r="A8" s="23" t="str">
        <x:v>V002</x:v>
      </x:c>
      <x:c r="B8" s="23" t="str">
        <x:v>Presentation suit</x:v>
      </x:c>
      <x:c r="C8" s="23" t="str">
        <x:v>SIP / Y3</x:v>
      </x:c>
      <x:c r="D8" s="23" t="str">
        <x:v>Borrower</x:v>
      </x:c>
      <x:c r="E8" s="23" t="str">
        <x:v>1 per term</x:v>
      </x:c>
      <x:c r="F8" s="23" t="str">
        <x:v>Try conditionally</x:v>
      </x:c>
      <x:c r="G8" s="23" t="str">
        <x:v>Fit, cleanliness and total cost can outweigh proximity.</x:v>
      </x:c>
      <x:c r="H8" s="23" t="str">
        <x:v>Borrow from a roommate or buy if the price is similar.</x:v>
      </x:c>
    </x:row>
    <x:row r="9" ht="66" customHeight="1">
      <x:c r="A9" s="23" t="str">
        <x:v>V003</x:v>
      </x:c>
      <x:c r="B9" s="23" t="str">
        <x:v>Adapter</x:v>
      </x:c>
      <x:c r="C9" s="23" t="str">
        <x:v>XEC / Y1</x:v>
      </x:c>
      <x:c r="D9" s="23" t="str">
        <x:v>Borrower</x:v>
      </x:c>
      <x:c r="E9" s="23" t="str">
        <x:v>At most monthly</x:v>
      </x:c>
      <x:c r="F9" s="23" t="str">
        <x:v>Not a regular choice</x:v>
      </x:c>
      <x:c r="G9" s="23" t="str">
        <x:v>An urgent need may outlast listing approval and response time.</x:v>
      </x:c>
      <x:c r="H9" s="23" t="str">
        <x:v>Ask the project group or nearby acquaintances.</x:v>
      </x:c>
    </x:row>
    <x:row r="10" ht="66" customHeight="1">
      <x:c r="A10" s="23" t="str">
        <x:v>V004</x:v>
      </x:c>
      <x:c r="B10" s="23" t="str">
        <x:v>Tripod</x:v>
      </x:c>
      <x:c r="C10" s="23" t="str">
        <x:v>SIP / Y2</x:v>
      </x:c>
      <x:c r="D10" s="23" t="str">
        <x:v>Owner</x:v>
      </x:c>
      <x:c r="E10" s="23" t="str">
        <x:v>2-3 per term</x:v>
      </x:c>
      <x:c r="F10" s="23" t="str">
        <x:v>Try conditionally</x:v>
      </x:c>
      <x:c r="G10" s="23" t="str">
        <x:v>Record accessories and condition. A deposit alone does not resolve damage disputes.</x:v>
      </x:c>
      <x:c r="H10" s="23" t="str">
        <x:v>Lend only to known friends.</x:v>
      </x:c>
    </x:row>
    <x:row r="11" ht="66" customHeight="1">
      <x:c r="A11" s="23" t="str">
        <x:v>V005</x:v>
      </x:c>
      <x:c r="B11" s="23" t="str">
        <x:v>Power bank</x:v>
      </x:c>
      <x:c r="C11" s="23" t="str">
        <x:v>XEC / Y3</x:v>
      </x:c>
      <x:c r="D11" s="23" t="str">
        <x:v>Borrower</x:v>
      </x:c>
      <x:c r="E11" s="23" t="str">
        <x:v>1 per term</x:v>
      </x:c>
      <x:c r="F11" s="23" t="str">
        <x:v>Unlikely in this case</x:v>
      </x:c>
      <x:c r="G11" s="23" t="str">
        <x:v>Collection and return effort can exceed the value of a cheap item.</x:v>
      </x:c>
      <x:c r="H11" s="23" t="str">
        <x:v>Use a friend or existing charging facilities.</x:v>
      </x:c>
    </x:row>
    <x:row r="12" ht="66" customHeight="1">
      <x:c r="A12" s="23" t="str">
        <x:v>V006</x:v>
      </x:c>
      <x:c r="B12" s="23" t="str">
        <x:v>Monitor</x:v>
      </x:c>
      <x:c r="C12" s="23" t="str">
        <x:v>SIP / Y4</x:v>
      </x:c>
      <x:c r="D12" s="23" t="str">
        <x:v>Seller</x:v>
      </x:c>
      <x:c r="E12" s="23" t="str">
        <x:v>At most yearly</x:v>
      </x:c>
      <x:c r="F12" s="23" t="str">
        <x:v>Consider cross-listing</x:v>
      </x:c>
      <x:c r="G12" s="23" t="str">
        <x:v>A graduation sale transfers ownership and needs no return workflow.</x:v>
      </x:c>
      <x:c r="H12" s="23" t="str">
        <x:v>Use a graduating-student group.</x:v>
      </x:c>
    </x:row>
    <x:row r="13" ht="66" customHeight="1">
      <x:c r="A13" s="23" t="str">
        <x:v>V007</x:v>
      </x:c>
      <x:c r="B13" s="23" t="str">
        <x:v>Camera</x:v>
      </x:c>
      <x:c r="C13" s="23" t="str">
        <x:v>XEC / Y2</x:v>
      </x:c>
      <x:c r="D13" s="23" t="str">
        <x:v>Borrower</x:v>
      </x:c>
      <x:c r="E13" s="23" t="str">
        <x:v>1 per term</x:v>
      </x:c>
      <x:c r="F13" s="23" t="str">
        <x:v>Try conditionally</x:v>
      </x:c>
      <x:c r="G13" s="23" t="str">
        <x:v>State accessories, condition, fees and responsibility. A recommendation is not a reservation.</x:v>
      </x:c>
      <x:c r="H13" s="23" t="str">
        <x:v>Ask the project group or known owners.</x:v>
      </x:c>
    </x:row>
    <x:row r="14" ht="66" customHeight="1">
      <x:c r="A14" s="23" t="str">
        <x:v>V008</x:v>
      </x:c>
      <x:c r="B14" s="23" t="str">
        <x:v>Suitcase</x:v>
      </x:c>
      <x:c r="C14" s="23" t="str">
        <x:v>SIP / Y1</x:v>
      </x:c>
      <x:c r="D14" s="23" t="str">
        <x:v>Borrower</x:v>
      </x:c>
      <x:c r="E14" s="23" t="str">
        <x:v>At most yearly</x:v>
      </x:c>
      <x:c r="F14" s="23" t="str">
        <x:v>Not considering now</x:v>
      </x:c>
      <x:c r="G14" s="23" t="str">
        <x:v>Rare need and an existing suitcase limit the reason to register or return.</x:v>
      </x:c>
      <x:c r="H14" s="23" t="str">
        <x:v>Ask family and friends.</x:v>
      </x:c>
    </x:row>
    <x:row r="15" ht="66" customHeight="1">
      <x:c r="A15" s="23" t="str">
        <x:v>V009</x:v>
      </x:c>
      <x:c r="B15" s="23" t="str">
        <x:v>Steamer</x:v>
      </x:c>
      <x:c r="C15" s="23" t="str">
        <x:v>XEC / Y4</x:v>
      </x:c>
      <x:c r="D15" s="23" t="str">
        <x:v>Owner</x:v>
      </x:c>
      <x:c r="E15" s="23" t="str">
        <x:v>At most monthly</x:v>
      </x:c>
      <x:c r="F15" s="23" t="str">
        <x:v>Try conditionally</x:v>
      </x:c>
      <x:c r="G15" s="23" t="str">
        <x:v>Owners need usable dates, overdue blocking and explicit return confirmation.</x:v>
      </x:c>
      <x:c r="H15" s="23" t="str">
        <x:v>Respond to acquaintances first.</x:v>
      </x:c>
    </x:row>
    <x:row r="16" ht="66" customHeight="1">
      <x:c r="A16" s="23" t="str">
        <x:v>V010</x:v>
      </x:c>
      <x:c r="B16" s="23" t="str">
        <x:v>Bicycle</x:v>
      </x:c>
      <x:c r="C16" s="23" t="str">
        <x:v>SIP / Y3</x:v>
      </x:c>
      <x:c r="D16" s="23" t="str">
        <x:v>Borrower</x:v>
      </x:c>
      <x:c r="E16" s="23" t="str">
        <x:v>At most twice per term</x:v>
      </x:c>
      <x:c r="F16" s="23" t="str">
        <x:v>Not considering this case</x:v>
      </x:c>
      <x:c r="G16" s="23" t="str">
        <x:v>Vehicle safety and loss risk may exceed the value of peer borrowing.</x:v>
      </x:c>
      <x:c r="H16" s="23" t="str">
        <x:v>Compare walking and existing transport.</x:v>
      </x:c>
    </x:row>
    <x:row r="17" ht="66" customHeight="1">
      <x:c r="A17" s="23" t="str">
        <x:v>V011</x:v>
      </x:c>
      <x:c r="B17" s="23" t="str">
        <x:v>Event clothing</x:v>
      </x:c>
      <x:c r="C17" s="23" t="str">
        <x:v>XEC / Y1</x:v>
      </x:c>
      <x:c r="D17" s="23" t="str">
        <x:v>Swap participant</x:v>
      </x:c>
      <x:c r="E17" s="23" t="str">
        <x:v>1 per term</x:v>
      </x:c>
      <x:c r="F17" s="23" t="str">
        <x:v>Try conditionally</x:v>
      </x:c>
      <x:c r="G17" s="23" t="str">
        <x:v>A permanent swap must specify both items and the transfer of ownership.</x:v>
      </x:c>
      <x:c r="H17" s="23" t="str">
        <x:v>Ask classmates or use a direct sale.</x:v>
      </x:c>
    </x:row>
    <x:row r="18" ht="66" customHeight="1">
      <x:c r="A18" s="23" t="str">
        <x:v>V012</x:v>
      </x:c>
      <x:c r="B18" s="23" t="str">
        <x:v>Projector</x:v>
      </x:c>
      <x:c r="C18" s="23" t="str">
        <x:v>SIP / Y2</x:v>
      </x:c>
      <x:c r="D18" s="23" t="str">
        <x:v>Borrower</x:v>
      </x:c>
      <x:c r="E18" s="23" t="str">
        <x:v>1 per term</x:v>
      </x:c>
      <x:c r="F18" s="23" t="str">
        <x:v>Consider if confirmed</x:v>
      </x:c>
      <x:c r="G18" s="23" t="str">
        <x:v>The organiser needs a firm commitment and compatible equipment.</x:v>
      </x:c>
      <x:c r="H18" s="23" t="str">
        <x:v>Check the venue or organiser first.</x:v>
      </x:c>
    </x:row>
    <x:row r="19" ht="66" customHeight="1">
      <x:c r="A19" s="23" t="str">
        <x:v>V013</x:v>
      </x:c>
      <x:c r="B19" s="23" t="str">
        <x:v>Microphone</x:v>
      </x:c>
      <x:c r="C19" s="23" t="str">
        <x:v>XEC / Y3</x:v>
      </x:c>
      <x:c r="D19" s="23" t="str">
        <x:v>Owner</x:v>
      </x:c>
      <x:c r="E19" s="23" t="str">
        <x:v>1 per term</x:v>
      </x:c>
      <x:c r="F19" s="23" t="str">
        <x:v>Not considering listing</x:v>
      </x:c>
      <x:c r="G19" s="23" t="str">
        <x:v>Idle ownership does not imply willingness to lend. Hygiene, privacy and time matter.</x:v>
      </x:c>
      <x:c r="H19" s="23" t="str">
        <x:v>Lend only to known people, if at all.</x:v>
      </x:c>
    </x:row>
    <x:row r="20" ht="66" customHeight="1">
      <x:c r="A20" s="23" t="str">
        <x:v>V014</x:v>
      </x:c>
      <x:c r="B20" s="23" t="str">
        <x:v>Photography light</x:v>
      </x:c>
      <x:c r="C20" s="23" t="str">
        <x:v>SIP / Y4</x:v>
      </x:c>
      <x:c r="D20" s="23" t="str">
        <x:v>Borrower</x:v>
      </x:c>
      <x:c r="E20" s="23" t="str">
        <x:v>2-3 per term</x:v>
      </x:c>
      <x:c r="F20" s="23" t="str">
        <x:v>Try once conditionally</x:v>
      </x:c>
      <x:c r="G20" s="23" t="str">
        <x:v>Planned dates fit the service better than emergencies. Review imported weeks and times.</x:v>
      </x:c>
      <x:c r="H20" s="23" t="str">
        <x:v>Ask project partners and friends first.</x:v>
      </x:c>
    </x:row>
    <x:row r="21" ht="66" customHeight="1">
      <x:c r="A21" s="23" t="str">
        <x:v>V015</x:v>
      </x:c>
      <x:c r="B21" s="23" t="str">
        <x:v>Lab coat</x:v>
      </x:c>
      <x:c r="C21" s="23" t="str">
        <x:v>XEC / Y2</x:v>
      </x:c>
      <x:c r="D21" s="23" t="str">
        <x:v>Borrower</x:v>
      </x:c>
      <x:c r="E21" s="23" t="str">
        <x:v>At most once per term</x:v>
      </x:c>
      <x:c r="F21" s="23" t="str">
        <x:v>Not considering now</x:v>
      </x:c>
      <x:c r="G21" s="23" t="str">
        <x:v>Rare need, fit and cleaning can make a low-cost purchase simpler.</x:v>
      </x:c>
      <x:c r="H21" s="23" t="str">
        <x:v>Ask classmates or own one.</x:v>
      </x:c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 t="str">
        <x:v>R1 source</x:v>
      </x:c>
      <x:c r="B24" s="2" t="str">
        <x:v>Team-provided V001-V015 summaries, reconfirmed by Rita on 18 October 2026.</x:v>
      </x:c>
      <x:c r="C24" s="2"/>
      <x:c r="D24" s="2"/>
      <x:c r="E24" s="2"/>
      <x:c r="F24" s="2"/>
      <x:c r="G24" s="2"/>
      <x:c r="H24" s="2"/>
    </x:row>
    <x:row r="25" ht="24" customHeight="1">
      <x:c r="A25" s="2" t="str">
        <x:v>Interpretation</x:v>
      </x:c>
      <x:c r="B25" s="2" t="str">
        <x:v>Low-frequency and negative responses remain. No participation, conversion or demand percentage is inferred.</x:v>
      </x:c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</x:sheetData>
  <x:pageMargins left="0.7" right="0.7" top="0.75" bottom="0.75" header="0.3" footer="0.3"/>
</x:worksheet>
</file>