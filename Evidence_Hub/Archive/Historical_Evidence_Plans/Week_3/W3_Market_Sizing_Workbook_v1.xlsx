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4358e7a6741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681ea05777e4d0e"/>
    <x:sheet xmlns:r="http://schemas.openxmlformats.org/officeDocument/2006/relationships" name="输入假设" sheetId="2" r:id="Re95f183fd83340b2"/>
    <x:sheet xmlns:r="http://schemas.openxmlformats.org/officeDocument/2006/relationships" name="渠道表" sheetId="3" r:id="R5e2fd25d59a34858"/>
    <x:sheet xmlns:r="http://schemas.openxmlformats.org/officeDocument/2006/relationships" name="计算" sheetId="4" r:id="R413ff8dd24144176"/>
    <x:sheet xmlns:r="http://schemas.openxmlformats.org/officeDocument/2006/relationships" name="敏感性" sheetId="5" r:id="Reb000237fc0e4170"/>
    <x:sheet xmlns:r="http://schemas.openxmlformats.org/officeDocument/2006/relationships" name="证据来源" sheetId="6" r:id="Rfb1182edd9f64a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%"/>
    <x:numFmt numFmtId="202" formatCode="#,##0.0"/>
    <x:numFmt numFmtId="203" formatCode="#,##0&quot; 元/次&quot;"/>
    <x:numFmt numFmtId="204" formatCode="0.0"/>
    <x:numFmt numFmtId="205" formatCode="#,##0&quot; 元/年&quot;"/>
    <x:numFmt numFmtId="206" formatCode="#,##0.00"/>
  </x:numFmts>
  <x:fonts count="7">
    <x:font>
      <x:sz val="11"/>
      <x:name val="Carlito"/>
    </x:font>
    <x:font>
      <x:b/>
      <x:sz val="14"/>
      <x:color rgb="FF0F766E"/>
      <x:name val="Carlito"/>
    </x:font>
    <x:font>
      <x:b/>
      <x:sz val="11"/>
      <x:color rgb="FF115E59"/>
      <x:name val="Carlito"/>
    </x:font>
    <x:font>
      <x:b/>
      <x:sz val="13"/>
      <x:color rgb="FF0F766E"/>
      <x:name val="Carlito"/>
    </x:font>
    <x:font>
      <x:b/>
      <x:sz val="11"/>
      <x:color rgb="FFFFFFFF"/>
      <x:name val="Carlito"/>
    </x:font>
    <x:font>
      <x:i/>
      <x:sz val="11"/>
      <x:color rgb="FF6B7280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7ED"/>
      </x:patternFill>
    </x:fill>
    <x:fill>
      <x:patternFill patternType="solid">
        <x:fgColor rgb="FFCCFBF1"/>
      </x:patternFill>
    </x:fill>
    <x:fill>
      <x:patternFill patternType="solid">
        <x:fgColor rgb="FFF1F5F9"/>
      </x:patternFill>
    </x:fill>
  </x:fills>
  <x:borders count="19">
    <x:border/>
    <x:border>
      <x:left style="thin">
        <x:color rgb="FF115E59"/>
      </x:left>
      <x:top style="thin">
        <x:color rgb="FF115E59"/>
      </x:top>
      <x:bottom style="thin">
        <x:color rgb="FF115E59"/>
      </x:bottom>
    </x:border>
    <x:border>
      <x:top style="thin">
        <x:color rgb="FF115E59"/>
      </x:top>
      <x:bottom style="thin">
        <x:color rgb="FF115E59"/>
      </x:bottom>
    </x:border>
    <x:border>
      <x:right style="thin">
        <x:color rgb="FF115E59"/>
      </x:right>
      <x:top style="thin">
        <x:color rgb="FF115E59"/>
      </x:top>
      <x:bottom style="thin">
        <x:color rgb="FF115E59"/>
      </x:bottom>
    </x:border>
    <x:border>
      <x:left style="thin">
        <x:color rgb="FFF59E0B"/>
      </x:left>
      <x:right style="thin">
        <x:color rgb="FFF59E0B"/>
      </x:right>
      <x:top style="thin">
        <x:color rgb="FFF59E0B"/>
      </x:top>
    </x:border>
    <x:border>
      <x:left style="thin">
        <x:color rgb="FFF59E0B"/>
      </x:left>
      <x:right style="thin">
        <x:color rgb="FFF59E0B"/>
      </x:right>
    </x:border>
    <x:border>
      <x:left style="thin">
        <x:color rgb="FFF59E0B"/>
      </x:left>
      <x:right style="thin">
        <x:color rgb="FFF59E0B"/>
      </x:right>
      <x:bottom style="thin">
        <x:color rgb="FFF59E0B"/>
      </x:bottom>
    </x:border>
    <x:border>
      <x:left style="thin">
        <x:color rgb="FFF59E0B"/>
      </x:left>
      <x:right style="thin">
        <x:color rgb="FFF59E0B"/>
      </x:right>
      <x:top style="thin">
        <x:color rgb="FFF59E0B"/>
      </x:top>
      <x:bottom style="thin">
        <x:color rgb="FFF59E0B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F59E0B"/>
      </x:left>
      <x:top style="thin">
        <x:color rgb="FFF59E0B"/>
      </x:top>
      <x:bottom style="thin">
        <x:color rgb="FFF59E0B"/>
      </x:bottom>
    </x:border>
    <x:border>
      <x:top style="thin">
        <x:color rgb="FFF59E0B"/>
      </x:top>
      <x:bottom style="thin">
        <x:color rgb="FFF59E0B"/>
      </x:bottom>
    </x:border>
    <x:border>
      <x:right style="thin">
        <x:color rgb="FFF59E0B"/>
      </x:right>
      <x:top style="thin">
        <x:color rgb="FFF59E0B"/>
      </x:top>
      <x:bottom style="thin">
        <x:color rgb="FFF59E0B"/>
      </x:bottom>
    </x:border>
  </x:borders>
  <x:cellStyleXfs count="1">
    <x:xf numFmtId="0" fontId="0" fillId="0" borderId="0"/>
  </x:cellStyleXfs>
  <x:cellXfs count="19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200" fontId="0" fillId="3" borderId="4" xfId="0" applyNumberFormat="1" applyFont="1" applyFill="1" applyBorder="1"/>
    <x:xf numFmtId="200" fontId="0" fillId="3" borderId="5" xfId="0" applyNumberFormat="1" applyFont="1" applyFill="1" applyBorder="1"/>
    <x:xf numFmtId="201" fontId="0" fillId="3" borderId="5" xfId="0" applyNumberFormat="1" applyFont="1" applyFill="1" applyBorder="1"/>
    <x:xf numFmtId="202" fontId="0" fillId="3" borderId="5" xfId="0" applyNumberFormat="1" applyFont="1" applyFill="1" applyBorder="1"/>
    <x:xf numFmtId="203" fontId="0" fillId="3" borderId="5" xfId="0" applyNumberFormat="1" applyFont="1" applyFill="1" applyBorder="1"/>
    <x:xf numFmtId="200" fontId="0" fillId="3" borderId="6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3" borderId="4" xfId="0" applyNumberFormat="1" applyFont="1" applyFill="1" applyBorder="1" applyAlignment="1">
      <x:alignment vertical="center"/>
    </x:xf>
    <x:xf numFmtId="200" fontId="0" fillId="3" borderId="5" xfId="0" applyNumberFormat="1" applyFont="1" applyFill="1" applyBorder="1" applyAlignment="1">
      <x:alignment vertical="center"/>
    </x:xf>
    <x:xf numFmtId="201" fontId="0" fillId="3" borderId="5" xfId="0" applyNumberFormat="1" applyFont="1" applyFill="1" applyBorder="1" applyAlignment="1">
      <x:alignment vertical="center"/>
    </x:xf>
    <x:xf numFmtId="202" fontId="0" fillId="3" borderId="5" xfId="0" applyNumberFormat="1" applyFont="1" applyFill="1" applyBorder="1" applyAlignment="1">
      <x:alignment vertical="center"/>
    </x:xf>
    <x:xf numFmtId="203" fontId="0" fillId="3" borderId="5" xfId="0" applyNumberFormat="1" applyFont="1" applyFill="1" applyBorder="1" applyAlignment="1">
      <x:alignment vertical="center"/>
    </x:xf>
    <x:xf numFmtId="200" fontId="0" fillId="3" borderId="6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3" borderId="4" xfId="0" applyNumberFormat="1" applyFont="1" applyFill="1" applyBorder="1" applyAlignment="1">
      <x:alignment vertical="center" wrapText="1"/>
    </x:xf>
    <x:xf numFmtId="200" fontId="0" fillId="3" borderId="5" xfId="0" applyNumberFormat="1" applyFont="1" applyFill="1" applyBorder="1" applyAlignment="1">
      <x:alignment vertical="center" wrapText="1"/>
    </x:xf>
    <x:xf numFmtId="201" fontId="0" fillId="3" borderId="5" xfId="0" applyNumberFormat="1" applyFont="1" applyFill="1" applyBorder="1" applyAlignment="1">
      <x:alignment vertical="center" wrapText="1"/>
    </x:xf>
    <x:xf numFmtId="202" fontId="0" fillId="3" borderId="5" xfId="0" applyNumberFormat="1" applyFont="1" applyFill="1" applyBorder="1" applyAlignment="1">
      <x:alignment vertical="center" wrapText="1"/>
    </x:xf>
    <x:xf numFmtId="203" fontId="0" fillId="3" borderId="5" xfId="0" applyNumberFormat="1" applyFont="1" applyFill="1" applyBorder="1" applyAlignment="1">
      <x:alignment vertical="center" wrapText="1"/>
    </x:xf>
    <x:xf numFmtId="200" fontId="0" fillId="3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4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0" fillId="3" borderId="14" xfId="0" applyNumberFormat="1" applyFont="1" applyFill="1" applyBorder="1"/>
    <x:xf numFmtId="0" fontId="0" fillId="3" borderId="15" xfId="0" applyNumberFormat="1" applyFont="1" applyFill="1" applyBorder="1"/>
    <x:xf numFmtId="200" fontId="0" fillId="3" borderId="8" xfId="0" applyNumberFormat="1" applyFont="1" applyFill="1" applyBorder="1"/>
    <x:xf numFmtId="200" fontId="0" fillId="3" borderId="9" xfId="0" applyNumberFormat="1" applyFont="1" applyFill="1" applyBorder="1"/>
    <x:xf numFmtId="200" fontId="0" fillId="3" borderId="10" xfId="0" applyNumberFormat="1" applyFont="1" applyFill="1" applyBorder="1"/>
    <x:xf numFmtId="200" fontId="0" fillId="0" borderId="0" xfId="0" applyNumberFormat="1" applyFont="1" applyFill="1" applyBorder="1"/>
    <x:xf numFmtId="200" fontId="0" fillId="3" borderId="11" xfId="0" applyNumberFormat="1" applyFont="1" applyFill="1" applyBorder="1"/>
    <x:xf numFmtId="200" fontId="0" fillId="3" borderId="0" xfId="0" applyNumberFormat="1" applyFont="1" applyFill="1" applyBorder="1"/>
    <x:xf numFmtId="200" fontId="0" fillId="3" borderId="12" xfId="0" applyNumberFormat="1" applyFont="1" applyFill="1" applyBorder="1"/>
    <x:xf numFmtId="200" fontId="0" fillId="3" borderId="13" xfId="0" applyNumberFormat="1" applyFont="1" applyFill="1" applyBorder="1"/>
    <x:xf numFmtId="200" fontId="0" fillId="3" borderId="14" xfId="0" applyNumberFormat="1" applyFont="1" applyFill="1" applyBorder="1"/>
    <x:xf numFmtId="200" fontId="0" fillId="3" borderId="15" xfId="0" applyNumberFormat="1" applyFont="1" applyFill="1" applyBorder="1"/>
    <x:xf numFmtId="200" fontId="6" fillId="4" borderId="0" xfId="0" applyNumberFormat="1" applyFont="1" applyFill="1" applyBorder="1"/>
    <x:xf numFmtId="200" fontId="6" fillId="3" borderId="0" xfId="0" applyNumberFormat="1" applyFont="1" applyFill="1" applyBorder="1"/>
    <x:xf numFmtId="200" fontId="6" fillId="3" borderId="7" xfId="0" applyNumberFormat="1" applyFont="1" applyFill="1" applyBorder="1"/>
    <x:xf numFmtId="204" fontId="0" fillId="3" borderId="10" xfId="0" applyNumberFormat="1" applyFont="1" applyFill="1" applyBorder="1"/>
    <x:xf numFmtId="204" fontId="0" fillId="3" borderId="12" xfId="0" applyNumberFormat="1" applyFont="1" applyFill="1" applyBorder="1"/>
    <x:xf numFmtId="204" fontId="0" fillId="3" borderId="15" xfId="0" applyNumberFormat="1" applyFont="1" applyFill="1" applyBorder="1"/>
    <x:xf numFmtId="204" fontId="6" fillId="3" borderId="7" xfId="0" applyNumberFormat="1" applyFont="1" applyFill="1" applyBorder="1"/>
    <x:xf numFmtId="200" fontId="0" fillId="3" borderId="8" xfId="0" applyNumberFormat="1" applyFont="1" applyFill="1" applyBorder="1" applyAlignment="1">
      <x:alignment wrapText="1"/>
    </x:xf>
    <x:xf numFmtId="200" fontId="0" fillId="3" borderId="9" xfId="0" applyNumberFormat="1" applyFont="1" applyFill="1" applyBorder="1" applyAlignment="1">
      <x:alignment wrapText="1"/>
    </x:xf>
    <x:xf numFmtId="204" fontId="0" fillId="3" borderId="1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3" borderId="11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204" fontId="0" fillId="3" borderId="12" xfId="0" applyNumberFormat="1" applyFont="1" applyFill="1" applyBorder="1" applyAlignment="1">
      <x:alignment wrapText="1"/>
    </x:xf>
    <x:xf numFmtId="200" fontId="0" fillId="3" borderId="13" xfId="0" applyNumberFormat="1" applyFont="1" applyFill="1" applyBorder="1" applyAlignment="1">
      <x:alignment wrapText="1"/>
    </x:xf>
    <x:xf numFmtId="200" fontId="0" fillId="3" borderId="14" xfId="0" applyNumberFormat="1" applyFont="1" applyFill="1" applyBorder="1" applyAlignment="1">
      <x:alignment wrapText="1"/>
    </x:xf>
    <x:xf numFmtId="204" fontId="0" fillId="3" borderId="15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200" fontId="6" fillId="4" borderId="0" xfId="0" applyNumberFormat="1" applyFont="1" applyFill="1" applyBorder="1" applyAlignment="1">
      <x:alignment wrapText="1"/>
    </x:xf>
    <x:xf numFmtId="200" fontId="6" fillId="3" borderId="0" xfId="0" applyNumberFormat="1" applyFont="1" applyFill="1" applyBorder="1" applyAlignment="1">
      <x:alignment wrapText="1"/>
    </x:xf>
    <x:xf numFmtId="204" fontId="6" fillId="3" borderId="7" xfId="0" applyNumberFormat="1" applyFont="1" applyFill="1" applyBorder="1" applyAlignment="1">
      <x:alignment wrapText="1"/>
    </x:xf>
    <x:xf numFmtId="200" fontId="0" fillId="3" borderId="8" xfId="0" applyNumberFormat="1" applyFont="1" applyFill="1" applyBorder="1" applyAlignment="1">
      <x:alignment horizontal="center" wrapText="1"/>
    </x:xf>
    <x:xf numFmtId="200" fontId="0" fillId="3" borderId="9" xfId="0" applyNumberFormat="1" applyFont="1" applyFill="1" applyBorder="1" applyAlignment="1">
      <x:alignment horizontal="center" wrapText="1"/>
    </x:xf>
    <x:xf numFmtId="204" fontId="0" fillId="3" borderId="1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200" fontId="0" fillId="3" borderId="11" xfId="0" applyNumberFormat="1" applyFont="1" applyFill="1" applyBorder="1" applyAlignment="1">
      <x:alignment horizontal="center" wrapText="1"/>
    </x:xf>
    <x:xf numFmtId="200" fontId="0" fillId="3" borderId="0" xfId="0" applyNumberFormat="1" applyFont="1" applyFill="1" applyBorder="1" applyAlignment="1">
      <x:alignment horizontal="center" wrapText="1"/>
    </x:xf>
    <x:xf numFmtId="204" fontId="0" fillId="3" borderId="12" xfId="0" applyNumberFormat="1" applyFont="1" applyFill="1" applyBorder="1" applyAlignment="1">
      <x:alignment horizontal="center" wrapText="1"/>
    </x:xf>
    <x:xf numFmtId="200" fontId="0" fillId="3" borderId="13" xfId="0" applyNumberFormat="1" applyFont="1" applyFill="1" applyBorder="1" applyAlignment="1">
      <x:alignment horizontal="center" wrapText="1"/>
    </x:xf>
    <x:xf numFmtId="200" fontId="0" fillId="3" borderId="14" xfId="0" applyNumberFormat="1" applyFont="1" applyFill="1" applyBorder="1" applyAlignment="1">
      <x:alignment horizontal="center" wrapText="1"/>
    </x:xf>
    <x:xf numFmtId="204" fontId="0" fillId="3" borderId="15" xfId="0" applyNumberFormat="1" applyFont="1" applyFill="1" applyBorder="1" applyAlignment="1">
      <x:alignment horizontal="center" wrapText="1"/>
    </x:xf>
    <x:xf numFmtId="200" fontId="6" fillId="4" borderId="0" xfId="0" applyNumberFormat="1" applyFont="1" applyFill="1" applyBorder="1" applyAlignment="1">
      <x:alignment horizontal="center" wrapText="1"/>
    </x:xf>
    <x:xf numFmtId="200" fontId="6" fillId="3" borderId="0" xfId="0" applyNumberFormat="1" applyFont="1" applyFill="1" applyBorder="1" applyAlignment="1">
      <x:alignment horizontal="center" wrapText="1"/>
    </x:xf>
    <x:xf numFmtId="204" fontId="6" fillId="3" borderId="7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/>
    </x:xf>
    <x:xf numFmtId="0" fontId="0" fillId="3" borderId="16" xfId="0" applyNumberFormat="1" applyFont="1" applyFill="1" applyBorder="1"/>
    <x:xf numFmtId="0" fontId="0" fillId="3" borderId="17" xfId="0" applyNumberFormat="1" applyFont="1" applyFill="1" applyBorder="1"/>
    <x:xf numFmtId="0" fontId="0" fillId="3" borderId="18" xfId="0" applyNumberFormat="1" applyFont="1" applyFill="1" applyBorder="1"/>
    <x:xf numFmtId="0" fontId="0" fillId="5" borderId="0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5" borderId="18" xfId="0" applyNumberFormat="1" applyFont="1" applyFill="1" applyBorder="1"/>
    <x:xf numFmtId="0" fontId="0" fillId="4" borderId="0" xfId="0" applyNumberFormat="1" applyFont="1" applyFill="1" applyBorder="1"/>
    <x:xf numFmtId="0" fontId="6" fillId="5" borderId="0" xfId="0" applyNumberFormat="1" applyFont="1" applyFill="1" applyBorder="1"/>
    <x:xf numFmtId="205" fontId="0" fillId="5" borderId="0" xfId="0" applyNumberFormat="1" applyFont="1" applyFill="1" applyBorder="1"/>
    <x:xf numFmtId="201" fontId="0" fillId="3" borderId="16" xfId="0" applyNumberFormat="1" applyFont="1" applyFill="1" applyBorder="1"/>
    <x:xf numFmtId="201" fontId="0" fillId="3" borderId="17" xfId="0" applyNumberFormat="1" applyFont="1" applyFill="1" applyBorder="1"/>
    <x:xf numFmtId="201" fontId="0" fillId="3" borderId="18" xfId="0" applyNumberFormat="1" applyFont="1" applyFill="1" applyBorder="1"/>
    <x:xf numFmtId="201" fontId="0" fillId="0" borderId="0" xfId="0" applyNumberFormat="1" applyFont="1" applyFill="1" applyBorder="1"/>
    <x:xf numFmtId="200" fontId="0" fillId="5" borderId="0" xfId="0" applyNumberFormat="1" applyFont="1" applyFill="1" applyBorder="1"/>
    <x:xf numFmtId="200" fontId="0" fillId="5" borderId="16" xfId="0" applyNumberFormat="1" applyFont="1" applyFill="1" applyBorder="1"/>
    <x:xf numFmtId="200" fontId="0" fillId="5" borderId="17" xfId="0" applyNumberFormat="1" applyFont="1" applyFill="1" applyBorder="1"/>
    <x:xf numFmtId="200" fontId="0" fillId="5" borderId="18" xfId="0" applyNumberFormat="1" applyFont="1" applyFill="1" applyBorder="1"/>
    <x:xf numFmtId="202" fontId="0" fillId="3" borderId="16" xfId="0" applyNumberFormat="1" applyFont="1" applyFill="1" applyBorder="1"/>
    <x:xf numFmtId="202" fontId="0" fillId="3" borderId="17" xfId="0" applyNumberFormat="1" applyFont="1" applyFill="1" applyBorder="1"/>
    <x:xf numFmtId="202" fontId="0" fillId="3" borderId="18" xfId="0" applyNumberFormat="1" applyFont="1" applyFill="1" applyBorder="1"/>
    <x:xf numFmtId="200" fontId="6" fillId="5" borderId="0" xfId="0" applyNumberFormat="1" applyFont="1" applyFill="1" applyBorder="1"/>
    <x:xf numFmtId="206" fontId="0" fillId="5" borderId="0" xfId="0" applyNumberFormat="1" applyFont="1" applyFill="1" applyBorder="1"/>
    <x:xf numFmtId="205" fontId="6" fillId="4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5" fontId="0" fillId="5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3" borderId="16" xfId="0" applyNumberFormat="1" applyFont="1" applyFill="1" applyBorder="1" applyAlignment="1">
      <x:alignment vertical="center"/>
    </x:xf>
    <x:xf numFmtId="0" fontId="0" fillId="3" borderId="17" xfId="0" applyNumberFormat="1" applyFont="1" applyFill="1" applyBorder="1" applyAlignment="1">
      <x:alignment vertical="center"/>
    </x:xf>
    <x:xf numFmtId="0" fontId="0" fillId="3" borderId="18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201" fontId="0" fillId="3" borderId="16" xfId="0" applyNumberFormat="1" applyFont="1" applyFill="1" applyBorder="1" applyAlignment="1">
      <x:alignment vertical="center"/>
    </x:xf>
    <x:xf numFmtId="201" fontId="0" fillId="3" borderId="17" xfId="0" applyNumberFormat="1" applyFont="1" applyFill="1" applyBorder="1" applyAlignment="1">
      <x:alignment vertical="center"/>
    </x:xf>
    <x:xf numFmtId="201" fontId="0" fillId="3" borderId="18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5" borderId="16" xfId="0" applyNumberFormat="1" applyFont="1" applyFill="1" applyBorder="1" applyAlignment="1">
      <x:alignment vertical="center"/>
    </x:xf>
    <x:xf numFmtId="200" fontId="0" fillId="5" borderId="17" xfId="0" applyNumberFormat="1" applyFont="1" applyFill="1" applyBorder="1" applyAlignment="1">
      <x:alignment vertical="center"/>
    </x:xf>
    <x:xf numFmtId="200" fontId="0" fillId="5" borderId="18" xfId="0" applyNumberFormat="1" applyFont="1" applyFill="1" applyBorder="1" applyAlignment="1">
      <x:alignment vertical="center"/>
    </x:xf>
    <x:xf numFmtId="202" fontId="0" fillId="3" borderId="16" xfId="0" applyNumberFormat="1" applyFont="1" applyFill="1" applyBorder="1" applyAlignment="1">
      <x:alignment vertical="center"/>
    </x:xf>
    <x:xf numFmtId="202" fontId="0" fillId="3" borderId="17" xfId="0" applyNumberFormat="1" applyFont="1" applyFill="1" applyBorder="1" applyAlignment="1">
      <x:alignment vertical="center"/>
    </x:xf>
    <x:xf numFmtId="202" fontId="0" fillId="3" borderId="18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vertical="center"/>
    </x:xf>
    <x:xf numFmtId="206" fontId="0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5" fontId="6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3" borderId="16" xfId="0" applyNumberFormat="1" applyFont="1" applyFill="1" applyBorder="1" applyAlignment="1">
      <x:alignment horizontal="center" vertical="center"/>
    </x:xf>
    <x:xf numFmtId="0" fontId="0" fillId="3" borderId="17" xfId="0" applyNumberFormat="1" applyFont="1" applyFill="1" applyBorder="1" applyAlignment="1">
      <x:alignment horizontal="center" vertical="center"/>
    </x:xf>
    <x:xf numFmtId="0" fontId="0" fillId="3" borderId="18" xfId="0" applyNumberFormat="1" applyFont="1" applyFill="1" applyBorder="1" applyAlignment="1">
      <x:alignment horizontal="center" vertical="center"/>
    </x:xf>
    <x:xf numFmtId="200" fontId="0" fillId="5" borderId="0" xfId="0" applyNumberFormat="1" applyFont="1" applyFill="1" applyBorder="1" applyAlignment="1">
      <x:alignment horizontal="center" vertical="center"/>
    </x:xf>
    <x:xf numFmtId="201" fontId="0" fillId="3" borderId="16" xfId="0" applyNumberFormat="1" applyFont="1" applyFill="1" applyBorder="1" applyAlignment="1">
      <x:alignment horizontal="center" vertical="center"/>
    </x:xf>
    <x:xf numFmtId="201" fontId="0" fillId="3" borderId="17" xfId="0" applyNumberFormat="1" applyFont="1" applyFill="1" applyBorder="1" applyAlignment="1">
      <x:alignment horizontal="center" vertical="center"/>
    </x:xf>
    <x:xf numFmtId="201" fontId="0" fillId="3" borderId="18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0" fontId="0" fillId="5" borderId="16" xfId="0" applyNumberFormat="1" applyFont="1" applyFill="1" applyBorder="1" applyAlignment="1">
      <x:alignment horizontal="center" vertical="center"/>
    </x:xf>
    <x:xf numFmtId="200" fontId="0" fillId="5" borderId="17" xfId="0" applyNumberFormat="1" applyFont="1" applyFill="1" applyBorder="1" applyAlignment="1">
      <x:alignment horizontal="center" vertical="center"/>
    </x:xf>
    <x:xf numFmtId="200" fontId="0" fillId="5" borderId="18" xfId="0" applyNumberFormat="1" applyFont="1" applyFill="1" applyBorder="1" applyAlignment="1">
      <x:alignment horizontal="center" vertical="center"/>
    </x:xf>
    <x:xf numFmtId="202" fontId="0" fillId="3" borderId="16" xfId="0" applyNumberFormat="1" applyFont="1" applyFill="1" applyBorder="1" applyAlignment="1">
      <x:alignment horizontal="center" vertical="center"/>
    </x:xf>
    <x:xf numFmtId="202" fontId="0" fillId="3" borderId="17" xfId="0" applyNumberFormat="1" applyFont="1" applyFill="1" applyBorder="1" applyAlignment="1">
      <x:alignment horizontal="center" vertical="center"/>
    </x:xf>
    <x:xf numFmtId="202" fontId="0" fillId="3" borderId="18" xfId="0" applyNumberFormat="1" applyFont="1" applyFill="1" applyBorder="1" applyAlignment="1">
      <x:alignment horizontal="center" vertical="center"/>
    </x:xf>
    <x:xf numFmtId="200" fontId="6" fillId="5" borderId="0" xfId="0" applyNumberFormat="1" applyFont="1" applyFill="1" applyBorder="1" applyAlignment="1">
      <x:alignment horizontal="center" vertical="center"/>
    </x:xf>
    <x:xf numFmtId="206" fontId="0" fillId="5" borderId="0" xfId="0" applyNumberFormat="1" applyFont="1" applyFill="1" applyBorder="1" applyAlignment="1">
      <x:alignment horizontal="center" vertical="center"/>
    </x:xf>
    <x:xf numFmtId="205" fontId="0" fillId="5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/>
    </x:xf>
    <x:xf numFmtId="205" fontId="6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horizontal="left" vertical="center"/>
    </x:xf>
    <x:xf numFmtId="202" fontId="0" fillId="0" borderId="0" xfId="0" applyNumberFormat="1" applyFont="1" applyFill="1" applyBorder="1"/>
    <x:xf numFmtId="202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4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/>
    </x:xf>
    <x:xf numFmtId="202" fontId="0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  <x:xf numFmtId="202" fontId="0" fillId="5" borderId="0" xfId="0" applyNumberFormat="1" applyFont="1" applyFill="1" applyBorder="1" applyAlignment="1">
      <x:alignment horizontal="center"/>
    </x:xf>
    <x:xf numFmtId="201" fontId="0" fillId="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 applyAlignment="1">
      <x:alignment horizontal="left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3" borderId="4" xfId="0" applyNumberFormat="1" applyFont="1" applyFill="1" applyBorder="1" applyAlignment="1">
      <x:alignment horizontal="center" wrapText="1"/>
    </x:xf>
    <x:xf numFmtId="0" fontId="0" fillId="3" borderId="5" xfId="0" applyNumberFormat="1" applyFont="1" applyFill="1" applyBorder="1" applyAlignment="1">
      <x:alignment horizontal="center" wrapText="1"/>
    </x:xf>
    <x:xf numFmtId="0" fontId="0" fillId="3" borderId="6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70090bccbf4b1b" /><Relationship Type="http://schemas.openxmlformats.org/officeDocument/2006/relationships/theme" Target="/xl/theme/theme1.xml" Id="Rc5d1f67059a34ec9" /><Relationship Type="http://schemas.openxmlformats.org/officeDocument/2006/relationships/sharedStrings" Target="/xl/sharedStrings.xml" Id="Rfd779226ac63420e" /><Relationship Type="http://schemas.openxmlformats.org/officeDocument/2006/relationships/worksheet" Target="/xl/worksheets/sheet1.xml" Id="R3681ea05777e4d0e" /><Relationship Type="http://schemas.openxmlformats.org/officeDocument/2006/relationships/worksheet" Target="/xl/worksheets/sheet2.xml" Id="Re95f183fd83340b2" /><Relationship Type="http://schemas.openxmlformats.org/officeDocument/2006/relationships/worksheet" Target="/xl/worksheets/sheet3.xml" Id="R5e2fd25d59a34858" /><Relationship Type="http://schemas.openxmlformats.org/officeDocument/2006/relationships/worksheet" Target="/xl/worksheets/sheet4.xml" Id="R413ff8dd24144176" /><Relationship Type="http://schemas.openxmlformats.org/officeDocument/2006/relationships/worksheet" Target="/xl/worksheets/sheet5.xml" Id="Reb000237fc0e4170" /><Relationship Type="http://schemas.openxmlformats.org/officeDocument/2006/relationships/worksheet" Target="/xl/worksheets/sheet6.xml" Id="Rfb1182edd9f64a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 ht="16.799999237060547" hidden="0" customHeight="1">
      <x:c r="A1" s="3" t="str">
        <x:v>U Use｜W3 Market Sizing Workbook v1（TAM / SAM / SOM）</x:v>
      </x:c>
    </x:row>
    <x:row r="2" ht="15" hidden="0" customHeight="1">
      <x:c r="A2" s="4" t="str"/>
    </x:row>
    <x:row r="3" ht="15" hidden="0" customHeight="1">
      <x:c r="A3" s="4" t="str">
        <x:v>课程依据：ENT303TC Week 3 —— build TAM/SAM/SOM workbook with sourced assumptions。</x:v>
      </x:c>
    </x:row>
    <x:row r="4" ht="15" hidden="0" customHeight="1">
      <x:c r="A4" s="4" t="str">
        <x:v>验收标准：每个数字可追溯到来源、公式可见、单位统一、SOM 合理、每个组员都能解释。</x:v>
      </x:c>
    </x:row>
    <x:row r="5" ht="15" hidden="0" customHeight="1">
      <x:c r="A5" s="4" t="str"/>
    </x:row>
    <x:row r="6" ht="15" hidden="0" customHeight="1">
      <x:c r="A6" s="4" t="str">
        <x:v>本文件负责人：汤yq（Market Sizing）　复核人：Rita　备份：Rita</x:v>
      </x:c>
    </x:row>
    <x:row r="7" ht="15" hidden="0" customHeight="1">
      <x:c r="A7" s="4" t="str"/>
    </x:row>
    <x:row r="8" ht="15" hidden="0" customHeight="1">
      <x:c r="A8" s="5" t="str">
        <x:v>怎么用（很简单的三条）</x:v>
      </x:c>
    </x:row>
    <x:row r="9" ht="15" hidden="0" customHeight="1">
      <x:c r="A9" s="4" t="str">
        <x:v>1. 只改橙色格。灰色格是公式，手改会算错。</x:v>
      </x:c>
    </x:row>
    <x:row r="10" ht="15" hidden="0" customHeight="1">
      <x:c r="A10" s="4" t="str">
        <x:v>2. 每个橙色的数值格旁边都要有来源或「本组假设」标记，别删列。</x:v>
      </x:c>
    </x:row>
    <x:row r="11" ht="15" hidden="0" customHeight="1">
      <x:c r="A11" s="4" t="str">
        <x:v>3. 改完之后看一眼「计算」表的三情景，数字会自动更新。</x:v>
      </x:c>
    </x:row>
    <x:row r="12" ht="15" hidden="0" customHeight="1">
      <x:c r="A12" s="4" t="str"/>
    </x:row>
    <x:row r="13" ht="15" hidden="0" customHeight="1">
      <x:c r="A13" s="5" t="str">
        <x:v>各表作用</x:v>
      </x:c>
    </x:row>
    <x:row r="14" ht="15" hidden="0" customHeight="1">
      <x:c r="A14" s="4" t="str">
        <x:v>输入假设：8 个核心输入（I1-I8），数值在 C 列，来源和证据 ID 在右边。</x:v>
      </x:c>
    </x:row>
    <x:row r="15" ht="15" hidden="0" customHeight="1">
      <x:c r="A15" s="4" t="str">
        <x:v>渠道表：把「我们能触达谁」算清楚，这是 SOM 的关键，也是 supervisor 一定会问的地方。</x:v>
      </x:c>
    </x:row>
    <x:row r="16" ht="15" hidden="0" customHeight="1">
      <x:c r="A16" s="4" t="str">
        <x:v>计算：TAM / SAM / SOM 公式与三情景结果，公式全部留着，不要只写总数。</x:v>
      </x:c>
    </x:row>
    <x:row r="17" ht="15" hidden="0" customHeight="1">
      <x:c r="A17" s="4" t="str">
        <x:v>敏感性：被问「这个数字减半会怎样」时的答案，已经算好了。</x:v>
      </x:c>
    </x:row>
    <x:row r="18" ht="15" hidden="0" customHeight="1">
      <x:c r="A18" s="4" t="str">
        <x:v>证据来源：E01 起的证据登记表，session 上被问来源时直接指这里。</x:v>
      </x:c>
    </x:row>
    <x:row r="19" ht="15" hidden="0" customHeight="1">
      <x:c r="A19" s="4" t="str"/>
    </x:row>
    <x:row r="20" ht="15" hidden="0" customHeight="1">
      <x:c r="A20" s="5" t="str">
        <x:v>Session 前必须完成</x:v>
      </x:c>
    </x:row>
    <x:row r="21" ht="15" hidden="0" customHeight="1">
      <x:c r="A21" s="4" t="str">
        <x:v>[ ] 复核 I1 的来源链接并记录访问日期。</x:v>
      </x:c>
    </x:row>
    <x:row r="22" ht="15" hidden="0" customHeight="1">
      <x:c r="A22" s="4" t="str">
        <x:v>[ ] 把渠道表里的群数、平均人数改成你们真实的数字，不要用默认值。</x:v>
      </x:c>
    </x:row>
    <x:row r="23" ht="15" hidden="0" customHeight="1">
      <x:c r="A23" s="4" t="str">
        <x:v>[ ] 确认 I3-I7 的假设区间，并写清用什么方式验证。</x:v>
      </x:c>
    </x:row>
    <x:row r="24" ht="15" hidden="0" customHeight="1">
      <x:c r="A24" s="4" t="str">
        <x:v>[ ] 让 Rita 独立重算一遍，两人结果必须一致。</x:v>
      </x:c>
    </x:row>
    <x:row r="25" ht="15" hidden="0" customHeight="1">
      <x:c r="A25" s="4" t="str">
        <x:v>[ ] 每个数都能回答三件事：单位是什么、来源在哪、减半后结果是多少。</x:v>
      </x:c>
    </x:row>
    <x:row r="26" ht="15" hidden="0" customHeight="1">
      <x:c r="A26" s="4" t="str"/>
    </x:row>
    <x:row r="27" ht="15" hidden="0" customHeight="1">
      <x:c r="A27" s="5" t="str">
        <x:v>注意</x:v>
      </x:c>
    </x:row>
    <x:row r="28" ht="26.399999618530273" hidden="0" customHeight="1">
      <x:c r="A28" s="4" t="str">
        <x:v>课程阶段平台不收费，所以 SOM 里的「元」是成交额（GMV），不是平台收入。三个口径要一起讲：成交单数、成交额、假设服务费率下的收入。</x:v>
      </x:c>
    </x:row>
    <x:row r="29" ht="15" hidden="0" customHeight="1">
      <x:c r="A29" s="4" t="str">
        <x:v>竞品表不是本文件的内容，见同文件夹的 W3_Competitor_Table_v1.csv。</x:v>
      </x:c>
    </x:row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4" hidden="0" customWidth="1"/>
    <x:col min="4" max="4" width="12" hidden="0" customWidth="1"/>
    <x:col min="5" max="5" width="46" hidden="0" customWidth="1"/>
    <x:col min="6" max="6" width="10" hidden="0" customWidth="1"/>
    <x:col min="7" max="7" width="12" hidden="0" customWidth="1"/>
    <x:col min="8" max="8" width="10" hidden="0" customWidth="1"/>
    <x:col min="9" max="9" width="20" hidden="0" customWidth="1"/>
    <x:col min="10" max="10" width="26" hidden="0" customWidth="1"/>
  </x:cols>
  <x:sheetData>
    <x:row r="1">
      <x:c r="A1" s="6" t="str">
        <x:v>输入假设（I1-I8）：只改橙色格</x:v>
      </x:c>
    </x:row>
    <x:row r="3" ht="30" customHeight="1">
      <x:c r="A3" s="15" t="str">
        <x:v>编号</x:v>
      </x:c>
      <x:c r="B3" s="16" t="str">
        <x:v>变量</x:v>
      </x:c>
      <x:c r="C3" s="16" t="str">
        <x:v>数值</x:v>
      </x:c>
      <x:c r="D3" s="16" t="str">
        <x:v>单位</x:v>
      </x:c>
      <x:c r="E3" s="16" t="str">
        <x:v>数据来源 / 依据</x:v>
      </x:c>
      <x:c r="F3" s="16" t="str">
        <x:v>证据 ID</x:v>
      </x:c>
      <x:c r="G3" s="16" t="str">
        <x:v>类型</x:v>
      </x:c>
      <x:c r="H3" s="16" t="str">
        <x:v>负责人</x:v>
      </x:c>
      <x:c r="I3" s="16" t="str">
        <x:v>状态</x:v>
      </x:c>
      <x:c r="J3" s="17" t="str">
        <x:v>备注</x:v>
      </x:c>
    </x:row>
    <x:row r="4" ht="30" customHeight="1">
      <x:c r="A4" s="42" t="str">
        <x:v>I1</x:v>
      </x:c>
      <x:c r="B4" s="35" t="str">
        <x:v>XJTLU 在校学生数</x:v>
      </x:c>
      <x:c r="C4" s="36" t="n">
        <x:v>26000</x:v>
      </x:c>
      <x:c r="D4" s="42" t="str">
        <x:v>人</x:v>
      </x:c>
      <x:c r="E4" s="35" t="str">
        <x:v>XJTLU 官网 About / Overview（页面原文 26,000+ Students，updated in May 2026）</x:v>
      </x:c>
      <x:c r="F4" s="42" t="str">
        <x:v>E01</x:v>
      </x:c>
      <x:c r="G4" s="35" t="str">
        <x:v>二手数据</x:v>
      </x:c>
      <x:c r="H4" s="35" t="str">
        <x:v>汤yq</x:v>
      </x:c>
      <x:c r="I4" s="35" t="str">
        <x:v>已核实，待记录访问日期</x:v>
      </x:c>
      <x:c r="J4" s="35" t="str">
        <x:v>SAM 的分母</x:v>
      </x:c>
    </x:row>
    <x:row r="5" ht="30" customHeight="1">
      <x:c r="A5" s="42" t="str">
        <x:v>I2</x:v>
      </x:c>
      <x:c r="B5" s="35" t="str">
        <x:v>Year-1 可触达学生数（去重后）</x:v>
      </x:c>
      <x:c r="C5" s="37" t="n">
        <x:f>'渠道表'!F12</x:f>
        <x:v>2150</x:v>
      </x:c>
      <x:c r="D5" s="42" t="str">
        <x:v>人</x:v>
      </x:c>
      <x:c r="E5" s="35" t="str">
        <x:v>渠道表加总后全局去重</x:v>
      </x:c>
      <x:c r="F5" s="42" t="str">
        <x:v>E07</x:v>
      </x:c>
      <x:c r="G5" s="35" t="str">
        <x:v>本组推算</x:v>
      </x:c>
      <x:c r="H5" s="35" t="str">
        <x:v>汤yq</x:v>
      </x:c>
      <x:c r="I5" s="35" t="str">
        <x:v>自动来自渠道表</x:v>
      </x:c>
      <x:c r="J5" s="35" t="str">
        <x:v>SOM 最关键输入</x:v>
      </x:c>
    </x:row>
    <x:row r="6" ht="30" customHeight="1">
      <x:c r="A6" s="42" t="str">
        <x:v>I3</x:v>
      </x:c>
      <x:c r="B6" s="35" t="str">
        <x:v>有短期使用需求的学生比例</x:v>
      </x:c>
      <x:c r="C6" s="38" t="n">
        <x:v>0.5</x:v>
      </x:c>
      <x:c r="D6" s="42" t="str">
        <x:v>%</x:v>
      </x:c>
      <x:c r="E6" s="35" t="str">
        <x:v>本组问卷 Q3；问卷未回收前为假设</x:v>
      </x:c>
      <x:c r="F6" s="42" t="str">
        <x:v>E02</x:v>
      </x:c>
      <x:c r="G6" s="35" t="str">
        <x:v>本组假设</x:v>
      </x:c>
      <x:c r="H6" s="35" t="str">
        <x:v>汤yq</x:v>
      </x:c>
      <x:c r="I6" s="35" t="str">
        <x:v>待问卷验证</x:v>
      </x:c>
      <x:c r="J6" s="35" t="str">
        <x:v>建议区间 40%-60%</x:v>
      </x:c>
    </x:row>
    <x:row r="7" ht="30" customHeight="1">
      <x:c r="A7" s="42" t="str">
        <x:v>I4</x:v>
      </x:c>
      <x:c r="B7" s="35" t="str">
        <x:v>年均临时使用次数</x:v>
      </x:c>
      <x:c r="C7" s="39" t="n">
        <x:v>3</x:v>
      </x:c>
      <x:c r="D7" s="42" t="str">
        <x:v>次/人/年</x:v>
      </x:c>
      <x:c r="E7" s="35" t="str">
        <x:v>本组问卷 Q4 + 访谈</x:v>
      </x:c>
      <x:c r="F7" s="42" t="str">
        <x:v>E02/E03</x:v>
      </x:c>
      <x:c r="G7" s="35" t="str">
        <x:v>本组假设</x:v>
      </x:c>
      <x:c r="H7" s="35" t="str">
        <x:v>汤yq</x:v>
      </x:c>
      <x:c r="I7" s="35" t="str">
        <x:v>待验证</x:v>
      </x:c>
      <x:c r="J7" s="35" t="str">
        <x:v>建议区间 2-4</x:v>
      </x:c>
    </x:row>
    <x:row r="8" ht="30" customHeight="1">
      <x:c r="A8" s="42" t="str">
        <x:v>I5</x:v>
      </x:c>
      <x:c r="B8" s="35" t="str">
        <x:v>平均单次成交金额</x:v>
      </x:c>
      <x:c r="C8" s="40" t="n">
        <x:v>35</x:v>
      </x:c>
      <x:c r="D8" s="42" t="str">
        <x:v>元/次</x:v>
      </x:c>
      <x:c r="E8" s="35" t="str">
        <x:v>原型种子物品的押金与租金区间推算</x:v>
      </x:c>
      <x:c r="F8" s="42" t="str">
        <x:v>E05</x:v>
      </x:c>
      <x:c r="G8" s="35" t="str">
        <x:v>本组假设</x:v>
      </x:c>
      <x:c r="H8" s="35" t="str">
        <x:v>汤yq</x:v>
      </x:c>
      <x:c r="I8" s="35" t="str">
        <x:v>待验证</x:v>
      </x:c>
      <x:c r="J8" s="35" t="str">
        <x:v>原型数据，不是市场数据</x:v>
      </x:c>
    </x:row>
    <x:row r="9" ht="30" customHeight="1">
      <x:c r="A9" s="42" t="str">
        <x:v>I6</x:v>
      </x:c>
      <x:c r="B9" s="35" t="str">
        <x:v>触达 → 注册转化率</x:v>
      </x:c>
      <x:c r="C9" s="38" t="n">
        <x:v>0.2</x:v>
      </x:c>
      <x:c r="D9" s="42" t="str">
        <x:v>%</x:v>
      </x:c>
      <x:c r="E9" s="35" t="str">
        <x:v>渠道推广经验值 / 访谈中「愿意试用」比例</x:v>
      </x:c>
      <x:c r="F9" s="42" t="str">
        <x:v>E04</x:v>
      </x:c>
      <x:c r="G9" s="35" t="str">
        <x:v>本组假设</x:v>
      </x:c>
      <x:c r="H9" s="35" t="str">
        <x:v>汤yq</x:v>
      </x:c>
      <x:c r="I9" s="35" t="str">
        <x:v>待验证</x:v>
      </x:c>
      <x:c r="J9" s="35" t="str">
        <x:v>建议区间 15%-30%</x:v>
      </x:c>
    </x:row>
    <x:row r="10" ht="30" customHeight="1">
      <x:c r="A10" s="42" t="str">
        <x:v>I7</x:v>
      </x:c>
      <x:c r="B10" s="35" t="str">
        <x:v>注册 → 首次成交转化率</x:v>
      </x:c>
      <x:c r="C10" s="38" t="n">
        <x:v>0.15</x:v>
      </x:c>
      <x:c r="D10" s="42" t="str">
        <x:v>%</x:v>
      </x:c>
      <x:c r="E10" s="35" t="str">
        <x:v>行业类比 + 原型测试意愿</x:v>
      </x:c>
      <x:c r="F10" s="42" t="str">
        <x:v>E06</x:v>
      </x:c>
      <x:c r="G10" s="35" t="str">
        <x:v>本组假设</x:v>
      </x:c>
      <x:c r="H10" s="35" t="str">
        <x:v>汤yq</x:v>
      </x:c>
      <x:c r="I10" s="35" t="str">
        <x:v>待验证</x:v>
      </x:c>
      <x:c r="J10" s="35" t="str">
        <x:v>建议区间 10%-25%</x:v>
      </x:c>
    </x:row>
    <x:row r="11" ht="46" customHeight="1">
      <x:c r="A11" s="42" t="str">
        <x:v>I8</x:v>
      </x:c>
      <x:c r="B11" s="35" t="str">
        <x:v>全国高校在校生人数（仅 TAM 上限）</x:v>
      </x:c>
      <x:c r="C11" s="41" t="n">
        <x:v>47630000</x:v>
      </x:c>
      <x:c r="D11" s="42" t="str">
        <x:v>人</x:v>
      </x:c>
      <x:c r="E11" s="35" t="str">
        <x:v>教育部《全国教育事业发展统计公报》：高等教育在学总规模 4,763.19 万人（2023 年公报口径，填前请核对最新一期）｜http://www.moe.gov.cn/jyb_sjzl/sjzl_fztjgb/</x:v>
      </x:c>
      <x:c r="F11" s="42" t="str">
        <x:v>E08</x:v>
      </x:c>
      <x:c r="G11" s="35" t="str">
        <x:v>二手数据</x:v>
      </x:c>
      <x:c r="H11" s="35" t="str">
        <x:v>汤yq</x:v>
      </x:c>
      <x:c r="I11" s="35" t="str">
        <x:v>已填，待核对最新公报</x:v>
      </x:c>
      <x:c r="J11" s="35" t="str">
        <x:v>只做上限参考，不作为卖点</x:v>
      </x:c>
    </x:row>
  </x:sheetData>
  <x:dataValidations count="1">
    <x:dataValidation type="list" allowBlank="1" showDropDown="0" sqref="H4:H11">
      <x:formula1>"Rita,汤yq,李yl,毛xy,黄jj,黄yx,汪r"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12" hidden="0" customWidth="1"/>
    <x:col min="5" max="5" width="10" hidden="0" customWidth="1"/>
    <x:col min="6" max="6" width="13" hidden="0" customWidth="1"/>
    <x:col min="7" max="7" width="44" hidden="0" customWidth="1"/>
    <x:col min="8" max="8" width="10" hidden="0" customWidth="1"/>
  </x:cols>
  <x:sheetData>
    <x:row r="1">
      <x:c r="A1" s="6" t="str">
        <x:v>Year-1 可触达渠道表（supervisor 会问这一块）</x:v>
      </x:c>
    </x:row>
    <x:row r="2">
      <x:c r="A2" s="43" t="str">
        <x:v>把默认数字换成你们真实的群数和人数。覆盖人数和可触达人数会自动重算。</x:v>
      </x:c>
    </x:row>
    <x:row r="3">
      <x:c r="A3" s="46" t="str">
        <x:v>渠道</x:v>
      </x:c>
      <x:c r="B3" s="46" t="str">
        <x:v>群数 / 场次</x:v>
      </x:c>
      <x:c r="C3" s="46" t="str">
        <x:v>平均人数</x:v>
      </x:c>
      <x:c r="D3" s="46" t="str">
        <x:v>覆盖人数</x:v>
      </x:c>
      <x:c r="E3" s="46" t="str">
        <x:v>去重系数</x:v>
      </x:c>
      <x:c r="F3" s="46" t="str">
        <x:v>可触达人数</x:v>
      </x:c>
      <x:c r="G3" s="46" t="str">
        <x:v>为什么我们能触达（写具体的人和群）</x:v>
      </x:c>
      <x:c r="H3" s="46" t="str">
        <x:v>证据 ID</x:v>
      </x:c>
    </x:row>
    <x:row r="4" ht="30" customHeight="1">
      <x:c r="A4" s="35" t="str">
        <x:v>本班 / 同专业课程群</x:v>
      </x:c>
      <x:c r="B4" s="90" t="n">
        <x:v>4</x:v>
      </x:c>
      <x:c r="C4" s="91" t="n">
        <x:v>60</x:v>
      </x:c>
      <x:c r="D4" s="91" t="n">
        <x:f>B4*C4</x:f>
        <x:v>240</x:v>
      </x:c>
      <x:c r="E4" s="92" t="n">
        <x:v>0.9</x:v>
      </x:c>
      <x:c r="F4" s="93" t="n">
        <x:f>D4*E4</x:f>
        <x:v>216</x:v>
      </x:c>
      <x:c r="G4" s="4" t="str">
        <x:v>组员本身就在这些群里，可以直接发问卷和产品介绍</x:v>
      </x:c>
      <x:c r="H4" s="4" t="str">
        <x:v>E07</x:v>
      </x:c>
    </x:row>
    <x:row r="5" ht="30" customHeight="1">
      <x:c r="A5" s="35" t="str">
        <x:v>学生社团群</x:v>
      </x:c>
      <x:c r="B5" s="94" t="n">
        <x:v>8</x:v>
      </x:c>
      <x:c r="C5" s="95" t="n">
        <x:v>150</x:v>
      </x:c>
      <x:c r="D5" s="95" t="n">
        <x:f>B5*C5</x:f>
        <x:v>1200</x:v>
      </x:c>
      <x:c r="E5" s="96" t="n">
        <x:v>0.6</x:v>
      </x:c>
      <x:c r="F5" s="93" t="n">
        <x:f>D5*E5</x:f>
        <x:v>720</x:v>
      </x:c>
      <x:c r="G5" s="4" t="str">
        <x:v>组内有社团成员，可请社团负责人转发</x:v>
      </x:c>
      <x:c r="H5" s="4" t="str">
        <x:v>E07</x:v>
      </x:c>
    </x:row>
    <x:row r="6" ht="30" customHeight="1">
      <x:c r="A6" s="35" t="str">
        <x:v>宿舍楼层 / 书院群</x:v>
      </x:c>
      <x:c r="B6" s="94" t="n">
        <x:v>6</x:v>
      </x:c>
      <x:c r="C6" s="95" t="n">
        <x:v>120</x:v>
      </x:c>
      <x:c r="D6" s="95" t="n">
        <x:f>B6*C6</x:f>
        <x:v>720</x:v>
      </x:c>
      <x:c r="E6" s="96" t="n">
        <x:v>0.5</x:v>
      </x:c>
      <x:c r="F6" s="93" t="n">
        <x:f>D6*E6</x:f>
        <x:v>360</x:v>
      </x:c>
      <x:c r="G6" s="4" t="str">
        <x:v>同一栋宿舍楼的同学，适合面对面借还</x:v>
      </x:c>
      <x:c r="H6" s="4" t="str">
        <x:v>E07</x:v>
      </x:c>
    </x:row>
    <x:row r="7" ht="30" customHeight="1">
      <x:c r="A7" s="35" t="str">
        <x:v>校园二手 / 拼团微信群</x:v>
      </x:c>
      <x:c r="B7" s="94" t="n">
        <x:v>4</x:v>
      </x:c>
      <x:c r="C7" s="95" t="n">
        <x:v>400</x:v>
      </x:c>
      <x:c r="D7" s="95" t="n">
        <x:f>B7*C7</x:f>
        <x:v>1600</x:v>
      </x:c>
      <x:c r="E7" s="96" t="n">
        <x:v>0.6</x:v>
      </x:c>
      <x:c r="F7" s="93" t="n">
        <x:f>D7*E7</x:f>
        <x:v>960</x:v>
      </x:c>
      <x:c r="G7" s="4" t="str">
        <x:v>已有存量二手需求人群，转化意愿最高</x:v>
      </x:c>
      <x:c r="H7" s="4" t="str">
        <x:v>E07</x:v>
      </x:c>
    </x:row>
    <x:row r="8" ht="30" customHeight="1">
      <x:c r="A8" s="35" t="str">
        <x:v>线下摆摊 / 海报二维码</x:v>
      </x:c>
      <x:c r="B8" s="97" t="n">
        <x:v>6</x:v>
      </x:c>
      <x:c r="C8" s="98" t="n">
        <x:v>80</x:v>
      </x:c>
      <x:c r="D8" s="98" t="n">
        <x:f>B8*C8</x:f>
        <x:v>480</x:v>
      </x:c>
      <x:c r="E8" s="99" t="n">
        <x:v>0.9</x:v>
      </x:c>
      <x:c r="F8" s="93" t="n">
        <x:f>D8*E8</x:f>
        <x:v>432</x:v>
      </x:c>
      <x:c r="G8" s="4" t="str">
        <x:v>图书馆、学生中心、太仓校区食堂，扫码即用</x:v>
      </x:c>
      <x:c r="H8" s="4" t="str">
        <x:v>E07</x:v>
      </x:c>
    </x:row>
    <x:row r="9">
      <x:c r="A9" s="4"/>
      <x:c r="B9" s="93"/>
      <x:c r="C9" s="93"/>
      <x:c r="D9" s="93"/>
      <x:c r="E9" s="93"/>
      <x:c r="F9" s="93"/>
      <x:c r="G9" s="4"/>
      <x:c r="H9" s="4"/>
    </x:row>
    <x:row r="10" ht="30" customHeight="1">
      <x:c r="A10" s="86" t="str">
        <x:v>小计（未全局去重）</x:v>
      </x:c>
      <x:c r="B10" s="100"/>
      <x:c r="C10" s="100"/>
      <x:c r="D10" s="100"/>
      <x:c r="E10" s="100"/>
      <x:c r="F10" s="100" t="n">
        <x:f>SUM(F4:F8)</x:f>
        <x:v>2688</x:v>
      </x:c>
      <x:c r="G10" s="86"/>
      <x:c r="H10" s="86"/>
    </x:row>
    <x:row r="11" ht="30" customHeight="1">
      <x:c r="A11" s="86" t="str">
        <x:v>全局去重系数（同一人可能在多个渠道）</x:v>
      </x:c>
      <x:c r="B11" s="101"/>
      <x:c r="C11" s="101"/>
      <x:c r="D11" s="101"/>
      <x:c r="E11" s="102" t="n">
        <x:v>0.8</x:v>
      </x:c>
      <x:c r="F11" s="100"/>
      <x:c r="G11" s="86"/>
      <x:c r="H11" s="86"/>
    </x:row>
    <x:row r="12" ht="30" customHeight="1">
      <x:c r="A12" s="86" t="str">
        <x:v>Year-1 可触达学生数（去重后）→ 自动填入「输入假设」I2</x:v>
      </x:c>
      <x:c r="B12" s="100"/>
      <x:c r="C12" s="100"/>
      <x:c r="D12" s="100"/>
      <x:c r="E12" s="100"/>
      <x:c r="F12" s="100" t="n">
        <x:f>ROUND(F10*E11,0)</x:f>
        <x:v>2150</x:v>
      </x:c>
      <x:c r="G12" s="86"/>
      <x:c r="H12" s="8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28" t="str">
        <x:v>TAM / SAM / SOM 计算（公式全部保留，不要只写总数）</x:v>
      </x:c>
      <x:c r="B1" s="28"/>
      <x:c r="C1" s="28"/>
      <x:c r="D1" s="28"/>
    </x:row>
    <x:row r="2">
      <x:c r="A2" s="28"/>
      <x:c r="B2" s="28"/>
      <x:c r="C2" s="28"/>
      <x:c r="D2" s="28"/>
    </x:row>
    <x:row r="3">
      <x:c r="A3" s="129" t="str">
        <x:v>单位约定</x:v>
      </x:c>
      <x:c r="B3" s="28"/>
      <x:c r="C3" s="28"/>
      <x:c r="D3" s="28"/>
    </x:row>
    <x:row r="4">
      <x:c r="A4" s="130" t="str">
        <x:v>量</x:v>
      </x:c>
      <x:c r="B4" s="130" t="str">
        <x:v>单位</x:v>
      </x:c>
      <x:c r="C4" s="130" t="str">
        <x:v>说明</x:v>
      </x:c>
      <x:c r="D4" s="130" t="str"/>
    </x:row>
    <x:row r="5">
      <x:c r="A5" s="28" t="str">
        <x:v>人数</x:v>
      </x:c>
      <x:c r="B5" s="28" t="str">
        <x:v>人</x:v>
      </x:c>
      <x:c r="C5" s="28" t="str">
        <x:v>同一自然年内去重，同一人不重复计入</x:v>
      </x:c>
      <x:c r="D5" s="28" t="str"/>
    </x:row>
    <x:row r="6">
      <x:c r="A6" s="28" t="str">
        <x:v>频次</x:v>
      </x:c>
      <x:c r="B6" s="28" t="str">
        <x:v>次 / 人 / 年</x:v>
      </x:c>
      <x:c r="C6" s="28" t="str">
        <x:v>一个人一年内发起临时使用的次数</x:v>
      </x:c>
      <x:c r="D6" s="28" t="str"/>
    </x:row>
    <x:row r="7">
      <x:c r="A7" s="28" t="str">
        <x:v>金额</x:v>
      </x:c>
      <x:c r="B7" s="28" t="str">
        <x:v>元 / 次、元 / 年</x:v>
      </x:c>
      <x:c r="C7" s="28" t="str">
        <x:v>每列都要写单位，不要混用「元」和「万元」</x:v>
      </x:c>
      <x:c r="D7" s="28" t="str"/>
    </x:row>
    <x:row r="8">
      <x:c r="A8" s="28" t="str">
        <x:v>时间口径</x:v>
      </x:c>
      <x:c r="B8" s="28" t="str">
        <x:v>1 学年 = 10 个月</x:v>
      </x:c>
      <x:c r="C8" s="28" t="str">
        <x:v>9 月至次年 6 月，暑假不计入首年可达</x:v>
      </x:c>
      <x:c r="D8" s="28" t="str"/>
    </x:row>
    <x:row r="9">
      <x:c r="A9" s="28" t="str">
        <x:v>比例</x:v>
      </x:c>
      <x:c r="B9" s="28" t="str">
        <x:v>%（计算时用小数）</x:v>
      </x:c>
      <x:c r="C9" s="28" t="str">
        <x:v>展示写 %，参与计算用小数</x:v>
      </x:c>
      <x:c r="D9" s="28" t="str"/>
    </x:row>
    <x:row r="10">
      <x:c r="A10" s="28"/>
      <x:c r="B10" s="28"/>
      <x:c r="C10" s="28"/>
      <x:c r="D10" s="28"/>
    </x:row>
    <x:row r="11">
      <x:c r="A11" s="129" t="str">
        <x:v>1. TAM（仅作上限参考，不作为卖点）</x:v>
      </x:c>
      <x:c r="B11" s="28"/>
      <x:c r="C11" s="28"/>
      <x:c r="D11" s="28"/>
    </x:row>
    <x:row r="12">
      <x:c r="A12" s="35" t="str">
        <x:v>TAM(元/年) = 全国高校在校生人数 × 需求比例 × 年均使用次数 × 平均单次金额</x:v>
      </x:c>
      <x:c r="B12" s="35"/>
      <x:c r="C12" s="35"/>
      <x:c r="D12" s="35"/>
    </x:row>
    <x:row r="13">
      <x:c r="A13" s="28" t="str">
        <x:v>结果</x:v>
      </x:c>
      <x:c r="B13" s="131" t="n">
        <x:f>IF('输入假设'!C11="","待填 I8 后再看 TAM",'输入假设'!C11*'输入假设'!C6*'输入假设'!C7*'输入假设'!C8)</x:f>
        <x:v>2500575000</x:v>
      </x:c>
      <x:c r="C13" s="28"/>
      <x:c r="D13" s="28"/>
    </x:row>
    <x:row r="14">
      <x:c r="A14" s="28"/>
      <x:c r="B14" s="28"/>
      <x:c r="C14" s="28"/>
      <x:c r="D14" s="28"/>
    </x:row>
    <x:row r="15">
      <x:c r="A15" s="129" t="str">
        <x:v>2. SAM（XJTLU 校园市场）</x:v>
      </x:c>
      <x:c r="B15" s="28"/>
      <x:c r="C15" s="28"/>
      <x:c r="D15" s="28"/>
    </x:row>
    <x:row r="16">
      <x:c r="A16" s="35" t="str">
        <x:v>SAM(元/年) = XJTLU 在校学生数 × 需求比例 × 年均使用次数 × 平均单次金额</x:v>
      </x:c>
      <x:c r="B16" s="35"/>
      <x:c r="C16" s="35"/>
      <x:c r="D16" s="35"/>
    </x:row>
    <x:row r="17">
      <x:c r="A17" s="28" t="str">
        <x:v>结果</x:v>
      </x:c>
      <x:c r="B17" s="131" t="n">
        <x:f>'输入假设'!C4*'输入假设'!C6*'输入假设'!C7*'输入假设'!C8</x:f>
        <x:v>1365000</x:v>
      </x:c>
      <x:c r="C17" s="28"/>
      <x:c r="D17" s="28"/>
    </x:row>
    <x:row r="18">
      <x:c r="A18" s="28"/>
      <x:c r="B18" s="28"/>
      <x:c r="C18" s="28"/>
      <x:c r="D18" s="28"/>
    </x:row>
    <x:row r="19">
      <x:c r="A19" s="129" t="str">
        <x:v>3. SOM（首年可达，三情景）</x:v>
      </x:c>
      <x:c r="B19" s="28"/>
      <x:c r="C19" s="28"/>
      <x:c r="D19" s="28"/>
    </x:row>
    <x:row r="20">
      <x:c r="A20" s="35" t="str">
        <x:v>SOM 成交单数(单/年) = 可触达人数 × 触达→注册 × 注册→首单 × 人均年成交次数</x:v>
      </x:c>
      <x:c r="B20" s="35"/>
      <x:c r="C20" s="35"/>
      <x:c r="D20" s="35"/>
    </x:row>
    <x:row r="21">
      <x:c r="A21" s="35" t="str">
        <x:v>SOM 成交额(元/年) = 成交单数 × 平均单次成交金额　｜　SOM 平台收入 = 成交额 × 服务费率（课程阶段为 0%）</x:v>
      </x:c>
      <x:c r="B21" s="35"/>
      <x:c r="C21" s="35"/>
      <x:c r="D21" s="35"/>
    </x:row>
    <x:row r="22">
      <x:c r="A22" s="28"/>
      <x:c r="B22" s="28"/>
      <x:c r="C22" s="28"/>
      <x:c r="D22" s="28"/>
    </x:row>
    <x:row r="23" ht="22" customHeight="1">
      <x:c r="A23" s="132" t="str">
        <x:v>项目</x:v>
      </x:c>
      <x:c r="B23" s="132" t="str">
        <x:v>保守</x:v>
      </x:c>
      <x:c r="C23" s="132" t="str">
        <x:v>基准</x:v>
      </x:c>
      <x:c r="D23" s="132" t="str">
        <x:v>乐观</x:v>
      </x:c>
    </x:row>
    <x:row r="24" ht="22" customHeight="1">
      <x:c r="A24" s="172" t="str">
        <x:v>可触达人数情景系数（相对渠道表结果）</x:v>
      </x:c>
      <x:c r="B24" s="153" t="n">
        <x:v>0.6</x:v>
      </x:c>
      <x:c r="C24" s="154" t="n">
        <x:v>1</x:v>
      </x:c>
      <x:c r="D24" s="155" t="n">
        <x:v>1.3</x:v>
      </x:c>
    </x:row>
    <x:row r="25" ht="22" customHeight="1">
      <x:c r="A25" s="172" t="str">
        <x:v>可触达人数（人）</x:v>
      </x:c>
      <x:c r="B25" s="156" t="n">
        <x:f>'渠道表'!$F$12*B24</x:f>
        <x:v>1290</x:v>
      </x:c>
      <x:c r="C25" s="156" t="n">
        <x:f>'渠道表'!$F$12*C24</x:f>
        <x:v>2150</x:v>
      </x:c>
      <x:c r="D25" s="156" t="n">
        <x:f>'渠道表'!$F$12*D24</x:f>
        <x:v>2795</x:v>
      </x:c>
    </x:row>
    <x:row r="26" ht="22" customHeight="1">
      <x:c r="A26" s="172" t="str">
        <x:v>触达 → 注册转化率</x:v>
      </x:c>
      <x:c r="B26" s="157" t="n">
        <x:v>0.15</x:v>
      </x:c>
      <x:c r="C26" s="158" t="n">
        <x:v>0.2</x:v>
      </x:c>
      <x:c r="D26" s="159" t="n">
        <x:v>0.3</x:v>
      </x:c>
    </x:row>
    <x:row r="27" ht="22" customHeight="1">
      <x:c r="A27" s="172" t="str">
        <x:v>注册 → 首次成交转化率</x:v>
      </x:c>
      <x:c r="B27" s="160" t="n">
        <x:v>0.1</x:v>
      </x:c>
      <x:c r="C27" s="160" t="n">
        <x:v>0.15</x:v>
      </x:c>
      <x:c r="D27" s="160" t="n">
        <x:v>0.25</x:v>
      </x:c>
    </x:row>
    <x:row r="28" ht="22" customHeight="1">
      <x:c r="A28" s="172" t="str">
        <x:v>注册人数（人）</x:v>
      </x:c>
      <x:c r="B28" s="161" t="n">
        <x:f>B25*B26</x:f>
        <x:v>193.5</x:v>
      </x:c>
      <x:c r="C28" s="162" t="n">
        <x:f>C25*C26</x:f>
        <x:v>430</x:v>
      </x:c>
      <x:c r="D28" s="163" t="n">
        <x:f>D25*D26</x:f>
        <x:v>838.5</x:v>
      </x:c>
    </x:row>
    <x:row r="29" ht="22" customHeight="1">
      <x:c r="A29" s="172" t="str">
        <x:v>首单成交用户数（人）</x:v>
      </x:c>
      <x:c r="B29" s="156" t="n">
        <x:f>B28*B27</x:f>
        <x:v>19.35</x:v>
      </x:c>
      <x:c r="C29" s="156" t="n">
        <x:f>C28*C27</x:f>
        <x:v>64.5</x:v>
      </x:c>
      <x:c r="D29" s="156" t="n">
        <x:f>D28*D27</x:f>
        <x:v>209.625</x:v>
      </x:c>
    </x:row>
    <x:row r="30" ht="22" customHeight="1">
      <x:c r="A30" s="172" t="str">
        <x:v>人均年成交次数（次/人/年）</x:v>
      </x:c>
      <x:c r="B30" s="164" t="n">
        <x:v>1.5</x:v>
      </x:c>
      <x:c r="C30" s="165" t="n">
        <x:v>2</x:v>
      </x:c>
      <x:c r="D30" s="166" t="n">
        <x:v>3</x:v>
      </x:c>
    </x:row>
    <x:row r="31" ht="22" customHeight="1">
      <x:c r="A31" s="172" t="str">
        <x:v>成交单数（单/年）</x:v>
      </x:c>
      <x:c r="B31" s="167" t="n">
        <x:f>B29*B30</x:f>
        <x:v>29.025000000000002</x:v>
      </x:c>
      <x:c r="C31" s="167" t="n">
        <x:f>C29*C30</x:f>
        <x:v>129</x:v>
      </x:c>
      <x:c r="D31" s="167" t="n">
        <x:f>D29*D30</x:f>
        <x:v>628.875</x:v>
      </x:c>
    </x:row>
    <x:row r="32" ht="22" customHeight="1">
      <x:c r="A32" s="172" t="str">
        <x:v>平均单次成交金额（元/次）</x:v>
      </x:c>
      <x:c r="B32" s="168" t="n">
        <x:f>'输入假设'!$C$8</x:f>
        <x:v>35</x:v>
      </x:c>
      <x:c r="C32" s="168" t="n">
        <x:f>'输入假设'!$C$8</x:f>
        <x:v>35</x:v>
      </x:c>
      <x:c r="D32" s="168" t="n">
        <x:f>'输入假设'!$C$8</x:f>
        <x:v>35</x:v>
      </x:c>
    </x:row>
    <x:row r="33" ht="22" customHeight="1">
      <x:c r="A33" s="172" t="str">
        <x:v>成交额 GMV（元/年）</x:v>
      </x:c>
      <x:c r="B33" s="169" t="n">
        <x:f>B31*B32</x:f>
        <x:v>1015.8750000000001</x:v>
      </x:c>
      <x:c r="C33" s="169" t="n">
        <x:f>C31*C32</x:f>
        <x:v>4515</x:v>
      </x:c>
      <x:c r="D33" s="169" t="n">
        <x:f>D31*D32</x:f>
        <x:v>22010.625</x:v>
      </x:c>
    </x:row>
    <x:row r="34" ht="22" customHeight="1">
      <x:c r="A34" s="172" t="str">
        <x:v>假设服务费率（课程阶段 0%）</x:v>
      </x:c>
      <x:c r="B34" s="157" t="n">
        <x:v>0</x:v>
      </x:c>
      <x:c r="C34" s="158" t="n">
        <x:v>0</x:v>
      </x:c>
      <x:c r="D34" s="159" t="n">
        <x:v>0</x:v>
      </x:c>
    </x:row>
    <x:row r="35" ht="22" customHeight="1">
      <x:c r="A35" s="173" t="str">
        <x:v>平台收入（元/年）</x:v>
      </x:c>
      <x:c r="B35" s="171" t="n">
        <x:f>B33*B34</x:f>
        <x:v>0</x:v>
      </x:c>
      <x:c r="C35" s="171" t="n">
        <x:f>C33*C34</x:f>
        <x:v>0</x:v>
      </x:c>
      <x:c r="D35" s="171" t="n">
        <x:f>D33*D34</x:f>
        <x:v>0</x:v>
      </x:c>
    </x:row>
    <x:row r="36">
      <x:c r="A36" s="28"/>
      <x:c r="B36" s="28"/>
      <x:c r="C36" s="28"/>
      <x:c r="D36" s="28"/>
    </x:row>
    <x:row r="37">
      <x:c r="A37" s="151" t="str">
        <x:v>口径提醒：课程阶段不收佣金，所以「成交额」不等于平台收入。三个数一起讲才不会被追问。</x:v>
      </x:c>
      <x:c r="B37" s="28"/>
      <x:c r="C37" s="28"/>
      <x:c r="D37" s="28"/>
    </x:row>
    <x:row r="38">
      <x:c r="A38" s="28"/>
      <x:c r="B38" s="28"/>
      <x:c r="C38" s="28"/>
      <x:c r="D38" s="28"/>
    </x:row>
    <x:row r="39">
      <x:c r="A39" s="28"/>
      <x:c r="B39" s="28"/>
      <x:c r="C39" s="28"/>
      <x:c r="D39" s="28"/>
    </x:row>
    <x:row r="40">
      <x:c r="A40" s="28"/>
      <x:c r="B40" s="28"/>
      <x:c r="C40" s="28"/>
      <x:c r="D40" s="2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20" hidden="0" customWidth="1"/>
    <x:col min="5" max="5" width="20" hidden="0" customWidth="1"/>
  </x:cols>
  <x:sheetData>
    <x:row r="1">
      <x:c r="A1" s="6" t="str">
        <x:v>敏感性分析：被问「这个数字减半会怎样」时的答案</x:v>
      </x:c>
    </x:row>
    <x:row r="3">
      <x:c r="A3" s="2" t="str">
        <x:v>A. 对销售额上限（SAM）的影响</x:v>
      </x:c>
    </x:row>
    <x:row r="4" ht="22" customHeight="1">
      <x:c r="A4" s="103" t="str">
        <x:v>变量</x:v>
      </x:c>
      <x:c r="B4" s="103" t="str">
        <x:v>基准值</x:v>
      </x:c>
      <x:c r="C4" s="103" t="str">
        <x:v>减半后</x:v>
      </x:c>
      <x:c r="D4" s="103" t="str">
        <x:v>SAM（元/年）</x:v>
      </x:c>
      <x:c r="E4" s="103" t="str">
        <x:v>说明</x:v>
      </x:c>
    </x:row>
    <x:row r="5" ht="22" customHeight="1">
      <x:c r="A5" s="186" t="str">
        <x:v>需求比例（I3）</x:v>
      </x:c>
      <x:c r="B5" s="179" t="n">
        <x:f>'输入假设'!C6</x:f>
        <x:v>0.5</x:v>
      </x:c>
      <x:c r="C5" s="179" t="n">
        <x:f>'输入假设'!C6/2</x:f>
        <x:v>0.25</x:v>
      </x:c>
      <x:c r="D5" s="179" t="n">
        <x:f>'输入假设'!C4*('输入假设'!C6/2)*'输入假设'!C7*'输入假设'!C8</x:f>
        <x:v>682500</x:v>
      </x:c>
      <x:c r="E5" s="179" t="str">
        <x:v>需求比例减半，SAM 直接减半</x:v>
      </x:c>
    </x:row>
    <x:row r="6" ht="22" customHeight="1">
      <x:c r="A6" s="186" t="str">
        <x:v>平均单次成交金额（I5）</x:v>
      </x:c>
      <x:c r="B6" s="179" t="n">
        <x:f>'输入假设'!C8</x:f>
        <x:v>35</x:v>
      </x:c>
      <x:c r="C6" s="179" t="n">
        <x:f>'输入假设'!C8/2</x:f>
        <x:v>17.5</x:v>
      </x:c>
      <x:c r="D6" s="179" t="n">
        <x:f>'输入假设'!C4*'输入假设'!C6*'输入假设'!C7*('输入假设'!C8/2)</x:f>
        <x:v>682500</x:v>
      </x:c>
      <x:c r="E6" s="179" t="str">
        <x:v>客单价减半，SAM 减半</x:v>
      </x:c>
    </x:row>
    <x:row r="7" ht="22" customHeight="1">
      <x:c r="A7" s="179"/>
      <x:c r="B7" s="179"/>
      <x:c r="C7" s="179"/>
      <x:c r="D7" s="179"/>
      <x:c r="E7" s="179"/>
    </x:row>
    <x:row r="8" ht="22" customHeight="1">
      <x:c r="A8" s="180" t="str">
        <x:v>B. 对首年可达（SOM 基准情景）的影响</x:v>
      </x:c>
      <x:c r="B8" s="179"/>
      <x:c r="C8" s="179"/>
      <x:c r="D8" s="179"/>
      <x:c r="E8" s="179"/>
    </x:row>
    <x:row r="9" ht="22" customHeight="1">
      <x:c r="A9" s="103" t="str">
        <x:v>变量</x:v>
      </x:c>
      <x:c r="B9" s="103" t="str">
        <x:v>原值</x:v>
      </x:c>
      <x:c r="C9" s="103" t="str">
        <x:v>减半后</x:v>
      </x:c>
      <x:c r="D9" s="103" t="str">
        <x:v>成交单数（单/年）</x:v>
      </x:c>
      <x:c r="E9" s="103" t="str">
        <x:v>相对基准的变化</x:v>
      </x:c>
    </x:row>
    <x:row r="10" ht="22" customHeight="1">
      <x:c r="A10" s="187" t="str">
        <x:v>基准情景（不改任何输入）</x:v>
      </x:c>
      <x:c r="B10" s="181"/>
      <x:c r="C10" s="181"/>
      <x:c r="D10" s="182" t="n">
        <x:f>'计算'!C31</x:f>
        <x:v>129</x:v>
      </x:c>
      <x:c r="E10" s="181"/>
    </x:row>
    <x:row r="11" ht="22" customHeight="1">
      <x:c r="A11" s="188" t="str">
        <x:v>可触达人数减半</x:v>
      </x:c>
      <x:c r="B11" s="183" t="n">
        <x:f>'渠道表'!F12</x:f>
        <x:v>2150</x:v>
      </x:c>
      <x:c r="C11" s="183" t="n">
        <x:f>'渠道表'!F12/2</x:f>
        <x:v>1075</x:v>
      </x:c>
      <x:c r="D11" s="184" t="n">
        <x:f>'计算'!C25/2*'计算'!C26*'计算'!C27*'计算'!C30</x:f>
        <x:v>64.5</x:v>
      </x:c>
      <x:c r="E11" s="185" t="n">
        <x:f>D11/$D$10-1</x:f>
        <x:v>-0.5</x:v>
      </x:c>
    </x:row>
    <x:row r="12" ht="22" customHeight="1">
      <x:c r="A12" s="188" t="str">
        <x:v>触达→注册转化率减半</x:v>
      </x:c>
      <x:c r="B12" s="183" t="n">
        <x:f>'计算'!C26</x:f>
        <x:v>0.2</x:v>
      </x:c>
      <x:c r="C12" s="183" t="n">
        <x:f>'计算'!C26/2</x:f>
        <x:v>0.1</x:v>
      </x:c>
      <x:c r="D12" s="184" t="n">
        <x:f>'计算'!C25*('计算'!C26/2)*'计算'!C27*'计算'!C30</x:f>
        <x:v>64.5</x:v>
      </x:c>
      <x:c r="E12" s="185" t="n">
        <x:f>D12/$D$10-1</x:f>
        <x:v>-0.5</x:v>
      </x:c>
    </x:row>
    <x:row r="13" ht="22" customHeight="1">
      <x:c r="A13" s="188" t="str">
        <x:v>注册→首单转化率减半</x:v>
      </x:c>
      <x:c r="B13" s="183" t="n">
        <x:f>'计算'!C27</x:f>
        <x:v>0.15</x:v>
      </x:c>
      <x:c r="C13" s="183" t="n">
        <x:f>'计算'!C27/2</x:f>
        <x:v>0.075</x:v>
      </x:c>
      <x:c r="D13" s="184" t="n">
        <x:f>'计算'!C25*'计算'!C26*('计算'!C27/2)*'计算'!C30</x:f>
        <x:v>64.5</x:v>
      </x:c>
      <x:c r="E13" s="185" t="n">
        <x:f>D13/$D$10-1</x:f>
        <x:v>-0.5</x:v>
      </x:c>
    </x:row>
    <x:row r="14" ht="22" customHeight="1">
      <x:c r="A14" s="188" t="str">
        <x:v>人均年成交次数减半</x:v>
      </x:c>
      <x:c r="B14" s="183" t="n">
        <x:f>'计算'!C30</x:f>
        <x:v>2</x:v>
      </x:c>
      <x:c r="C14" s="183" t="n">
        <x:f>'计算'!C30/2</x:f>
        <x:v>1</x:v>
      </x:c>
      <x:c r="D14" s="184" t="n">
        <x:f>'计算'!C25*'计算'!C26*'计算'!C27*('计算'!C30/2)</x:f>
        <x:v>64.5</x:v>
      </x:c>
      <x:c r="E14" s="185" t="n">
        <x:f>D14/$D$10-1</x:f>
        <x:v>-0.5</x:v>
      </x:c>
    </x:row>
    <x:row r="16">
      <x:c r="A16" s="178" t="str">
        <x:v>结论怎么说：如果需求比例减半，SAM 减半；如果转化率减半，首年成交单数只有基准的约一半。所以我们在 pitch 里只讲可验证的区间，不讲单点数字。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44" hidden="0" customWidth="1"/>
    <x:col min="4" max="4" width="30" hidden="0" customWidth="1"/>
    <x:col min="5" max="5" width="40" hidden="0" customWidth="1"/>
    <x:col min="6" max="6" width="12" hidden="0" customWidth="1"/>
    <x:col min="7" max="7" width="14" hidden="0" customWidth="1"/>
    <x:col min="8" max="8" width="16" hidden="0" customWidth="1"/>
    <x:col min="9" max="9" width="10" hidden="0" customWidth="1"/>
  </x:cols>
  <x:sheetData>
    <x:row r="1">
      <x:c r="A1" s="6" t="str">
        <x:v>证据登记表（E01 起）：每个数字旁边都要写这里的证据 ID</x:v>
      </x:c>
    </x:row>
    <x:row r="3">
      <x:c r="A3" s="45" t="str">
        <x:v>证据 ID</x:v>
      </x:c>
      <x:c r="B3" s="45" t="str">
        <x:v>类型</x:v>
      </x:c>
      <x:c r="C3" s="45" t="str">
        <x:v>内容摘要</x:v>
      </x:c>
      <x:c r="D3" s="45" t="str">
        <x:v>来源名称</x:v>
      </x:c>
      <x:c r="E3" s="45" t="str">
        <x:v>链接或文件位置</x:v>
      </x:c>
      <x:c r="F3" s="45" t="str">
        <x:v>获取日期</x:v>
      </x:c>
      <x:c r="G3" s="45" t="str">
        <x:v>可信度</x:v>
      </x:c>
      <x:c r="H3" s="45" t="str">
        <x:v>关联假设</x:v>
      </x:c>
      <x:c r="I3" s="45" t="str">
        <x:v>负责人</x:v>
      </x:c>
    </x:row>
    <x:row r="4" ht="26" customHeight="1">
      <x:c r="A4" s="192" t="str">
        <x:v>E01</x:v>
      </x:c>
      <x:c r="B4" s="4" t="str">
        <x:v>二手数据</x:v>
      </x:c>
      <x:c r="C4" s="4" t="str">
        <x:v>XJTLU 学生规模 26,000+ 人（页面 updated in May 2026）</x:v>
      </x:c>
      <x:c r="D4" s="4" t="str">
        <x:v>XJTLU 官网 About / Overview</x:v>
      </x:c>
      <x:c r="E4" s="4" t="str">
        <x:v>https://www.xjtlu.edu.cn/en/about/overview</x:v>
      </x:c>
      <x:c r="F4" s="193" t="str">
        <x:v>待填</x:v>
      </x:c>
      <x:c r="G4" s="4" t="str">
        <x:v>官方一手</x:v>
      </x:c>
      <x:c r="H4" s="4" t="str">
        <x:v>市场基数</x:v>
      </x:c>
      <x:c r="I4" s="4" t="str">
        <x:v>汤yq</x:v>
      </x:c>
    </x:row>
    <x:row r="5" ht="26" customHeight="1">
      <x:c r="A5" s="192" t="str">
        <x:v>E02</x:v>
      </x:c>
      <x:c r="B5" s="4" t="str">
        <x:v>一手数据</x:v>
      </x:c>
      <x:c r="C5" s="4" t="str">
        <x:v>问卷 Q3/Q4 的需求比例与品类排序</x:v>
      </x:c>
      <x:c r="D5" s="4" t="str">
        <x:v>本组问卷</x:v>
      </x:c>
      <x:c r="E5" s="4" t="str">
        <x:v>回收后填写</x:v>
      </x:c>
      <x:c r="F5" s="194" t="str">
        <x:v>待填</x:v>
      </x:c>
      <x:c r="G5" s="4" t="str">
        <x:v>自采一手</x:v>
      </x:c>
      <x:c r="H5" s="4" t="str">
        <x:v>H01/H02/H04</x:v>
      </x:c>
      <x:c r="I5" s="4" t="str">
        <x:v>黄jj</x:v>
      </x:c>
    </x:row>
    <x:row r="6" ht="26" customHeight="1">
      <x:c r="A6" s="192" t="str">
        <x:v>E03</x:v>
      </x:c>
      <x:c r="B6" s="4" t="str">
        <x:v>一手数据</x:v>
      </x:c>
      <x:c r="C6" s="4" t="str">
        <x:v>访谈原话与场景</x:v>
      </x:c>
      <x:c r="D6" s="4" t="str">
        <x:v>本组访谈记录 U01-U05</x:v>
      </x:c>
      <x:c r="E6" s="4" t="str">
        <x:v>待填</x:v>
      </x:c>
      <x:c r="F6" s="194" t="str">
        <x:v>待填</x:v>
      </x:c>
      <x:c r="G6" s="4" t="str">
        <x:v>自采一手</x:v>
      </x:c>
      <x:c r="H6" s="4" t="str">
        <x:v>H01/H02/H06</x:v>
      </x:c>
      <x:c r="I6" s="4" t="str">
        <x:v>黄jj</x:v>
      </x:c>
    </x:row>
    <x:row r="7" ht="26" customHeight="1">
      <x:c r="A7" s="192" t="str">
        <x:v>E04</x:v>
      </x:c>
      <x:c r="B7" s="4" t="str">
        <x:v>内部估算</x:v>
      </x:c>
      <x:c r="C7" s="4" t="str">
        <x:v>渠道推广的经验转化率</x:v>
      </x:c>
      <x:c r="D7" s="4" t="str">
        <x:v>本组推算</x:v>
      </x:c>
      <x:c r="E7" s="4" t="str">
        <x:v>渠道表</x:v>
      </x:c>
      <x:c r="F7" s="194" t="str">
        <x:v>待填</x:v>
      </x:c>
      <x:c r="G7" s="4" t="str">
        <x:v>本组假设</x:v>
      </x:c>
      <x:c r="H7" s="4" t="str">
        <x:v>I6</x:v>
      </x:c>
      <x:c r="I7" s="4" t="str">
        <x:v>汤yq</x:v>
      </x:c>
    </x:row>
    <x:row r="8" ht="26" customHeight="1">
      <x:c r="A8" s="192" t="str">
        <x:v>E05</x:v>
      </x:c>
      <x:c r="B8" s="4" t="str">
        <x:v>内部估算</x:v>
      </x:c>
      <x:c r="C8" s="4" t="str">
        <x:v>原型种子物品的押金与租金区间</x:v>
      </x:c>
      <x:c r="D8" s="4" t="str">
        <x:v>原型数据</x:v>
      </x:c>
      <x:c r="E8" s="4" t="str">
        <x:v>xjtlu-market-app/data/products.json</x:v>
      </x:c>
      <x:c r="F8" s="194" t="str">
        <x:v>待填</x:v>
      </x:c>
      <x:c r="G8" s="4" t="str">
        <x:v>模拟数据</x:v>
      </x:c>
      <x:c r="H8" s="4" t="str">
        <x:v>I5</x:v>
      </x:c>
      <x:c r="I8" s="4" t="str">
        <x:v>Rita</x:v>
      </x:c>
    </x:row>
    <x:row r="9" ht="26" customHeight="1">
      <x:c r="A9" s="192" t="str">
        <x:v>E06</x:v>
      </x:c>
      <x:c r="B9" s="4" t="str">
        <x:v>内部估算</x:v>
      </x:c>
      <x:c r="C9" s="4" t="str">
        <x:v>注册到首单的转化率假设</x:v>
      </x:c>
      <x:c r="D9" s="4" t="str">
        <x:v>行业类比</x:v>
      </x:c>
      <x:c r="E9" s="4" t="str">
        <x:v>待填</x:v>
      </x:c>
      <x:c r="F9" s="194" t="str">
        <x:v>待填</x:v>
      </x:c>
      <x:c r="G9" s="4" t="str">
        <x:v>本组假设</x:v>
      </x:c>
      <x:c r="H9" s="4" t="str">
        <x:v>I7</x:v>
      </x:c>
      <x:c r="I9" s="4" t="str">
        <x:v>汤yq</x:v>
      </x:c>
    </x:row>
    <x:row r="10" ht="26" customHeight="1">
      <x:c r="A10" s="192" t="str">
        <x:v>E07</x:v>
      </x:c>
      <x:c r="B10" s="4" t="str">
        <x:v>内部推算</x:v>
      </x:c>
      <x:c r="C10" s="4" t="str">
        <x:v>Year-1 可触达学生数（去重后）</x:v>
      </x:c>
      <x:c r="D10" s="4" t="str">
        <x:v>渠道表加总</x:v>
      </x:c>
      <x:c r="E10" s="4" t="str">
        <x:v>渠道表 F12</x:v>
      </x:c>
      <x:c r="F10" s="194" t="str">
        <x:v>待填</x:v>
      </x:c>
      <x:c r="G10" s="4" t="str">
        <x:v>本组推算</x:v>
      </x:c>
      <x:c r="H10" s="4" t="str">
        <x:v>I2</x:v>
      </x:c>
      <x:c r="I10" s="4" t="str">
        <x:v>汤yq</x:v>
      </x:c>
    </x:row>
    <x:row r="11" ht="26" customHeight="1">
      <x:c r="A11" s="192" t="str">
        <x:v>E08</x:v>
      </x:c>
      <x:c r="B11" s="4" t="str">
        <x:v>二手数据</x:v>
      </x:c>
      <x:c r="C11" s="4" t="str">
        <x:v>全国高校在校生人数</x:v>
      </x:c>
      <x:c r="D11" s="4" t="str">
        <x:v>教育部全国教育事业发展统计公报</x:v>
      </x:c>
      <x:c r="E11" s="4" t="str">
        <x:v>待填</x:v>
      </x:c>
      <x:c r="F11" s="194" t="str">
        <x:v>待填</x:v>
      </x:c>
      <x:c r="G11" s="4" t="str">
        <x:v>官方一手</x:v>
      </x:c>
      <x:c r="H11" s="4" t="str">
        <x:v>仅 TAM 上限</x:v>
      </x:c>
      <x:c r="I11" s="4" t="str">
        <x:v>汤yq</x:v>
      </x:c>
    </x:row>
    <x:row r="12" ht="26" customHeight="1">
      <x:c r="A12" s="192" t="str">
        <x:v>E10</x:v>
      </x:c>
      <x:c r="B12" s="4" t="str">
        <x:v>竞品观察</x:v>
      </x:c>
      <x:c r="C12" s="4" t="str">
        <x:v>闲鱼功能与交易流程截图</x:v>
      </x:c>
      <x:c r="D12" s="4" t="str">
        <x:v>闲鱼 App / 网页</x:v>
      </x:c>
      <x:c r="E12" s="4" t="str">
        <x:v>Competitor_Screenshots/</x:v>
      </x:c>
      <x:c r="F12" s="194" t="str">
        <x:v>待填</x:v>
      </x:c>
      <x:c r="G12" s="4" t="str">
        <x:v>自采观察</x:v>
      </x:c>
      <x:c r="H12" s="4" t="str">
        <x:v>C01</x:v>
      </x:c>
      <x:c r="I12" s="4" t="str">
        <x:v>李yl</x:v>
      </x:c>
    </x:row>
    <x:row r="13" ht="26" customHeight="1">
      <x:c r="A13" s="192" t="str">
        <x:v>E11</x:v>
      </x:c>
      <x:c r="B13" s="4" t="str">
        <x:v>竞品观察</x:v>
      </x:c>
      <x:c r="C13" s="4" t="str">
        <x:v>学生微信群信息流截图</x:v>
      </x:c>
      <x:c r="D13" s="4" t="str">
        <x:v>学生微信群</x:v>
      </x:c>
      <x:c r="E13" s="4" t="str">
        <x:v>Competitor_Screenshots/</x:v>
      </x:c>
      <x:c r="F13" s="194" t="str">
        <x:v>待填</x:v>
      </x:c>
      <x:c r="G13" s="4" t="str">
        <x:v>自采观察</x:v>
      </x:c>
      <x:c r="H13" s="4" t="str">
        <x:v>C02</x:v>
      </x:c>
      <x:c r="I13" s="4" t="str">
        <x:v>李yl</x:v>
      </x:c>
    </x:row>
    <x:row r="14" ht="26" customHeight="1">
      <x:c r="A14" s="192" t="str">
        <x:v>E12</x:v>
      </x:c>
      <x:c r="B14" s="4" t="str">
        <x:v>竞品观察</x:v>
      </x:c>
      <x:c r="C14" s="4" t="str">
        <x:v>商业租赁平台价格页与规则</x:v>
      </x:c>
      <x:c r="D14" s="4" t="str">
        <x:v>待点名平台</x:v>
      </x:c>
      <x:c r="E14" s="4" t="str">
        <x:v>Competitor_Screenshots/</x:v>
      </x:c>
      <x:c r="F14" s="194" t="str">
        <x:v>待填</x:v>
      </x:c>
      <x:c r="G14" s="4" t="str">
        <x:v>自采观察</x:v>
      </x:c>
      <x:c r="H14" s="4" t="str">
        <x:v>C03</x:v>
      </x:c>
      <x:c r="I14" s="4" t="str">
        <x:v>李yl</x:v>
      </x:c>
    </x:row>
    <x:row r="15" ht="26" customHeight="1">
      <x:c r="A15" s="192" t="str">
        <x:v>E13</x:v>
      </x:c>
      <x:c r="B15" s="4" t="str">
        <x:v>竞品观察</x:v>
      </x:c>
      <x:c r="C15" s="4" t="str">
        <x:v>校园回收 / 捐赠项目公开信息</x:v>
      </x:c>
      <x:c r="D15" s="4" t="str">
        <x:v>待点名组织</x:v>
      </x:c>
      <x:c r="E15" s="4" t="str">
        <x:v>Competitor_Screenshots/</x:v>
      </x:c>
      <x:c r="F15" s="194" t="str">
        <x:v>待填</x:v>
      </x:c>
      <x:c r="G15" s="4" t="str">
        <x:v>自采观察</x:v>
      </x:c>
      <x:c r="H15" s="4" t="str">
        <x:v>C04</x:v>
      </x:c>
      <x:c r="I15" s="4" t="str">
        <x:v>李yl</x:v>
      </x:c>
    </x:row>
    <x:row r="16" ht="26" customHeight="1">
      <x:c r="A16" s="192" t="str">
        <x:v>E14</x:v>
      </x:c>
      <x:c r="B16" s="4" t="str">
        <x:v>竞品观察</x:v>
      </x:c>
      <x:c r="C16" s="4" t="str">
        <x:v>社交媒体上的校园物品信息</x:v>
      </x:c>
      <x:c r="D16" s="4" t="str">
        <x:v>待点名平台</x:v>
      </x:c>
      <x:c r="E16" s="4" t="str">
        <x:v>Competitor_Screenshots/</x:v>
      </x:c>
      <x:c r="F16" s="194" t="str">
        <x:v>待填</x:v>
      </x:c>
      <x:c r="G16" s="4" t="str">
        <x:v>自采观察</x:v>
      </x:c>
      <x:c r="H16" s="4" t="str">
        <x:v>C05</x:v>
      </x:c>
      <x:c r="I16" s="4" t="str">
        <x:v>李yl</x:v>
      </x:c>
    </x:row>
    <x:row r="17" ht="26" customHeight="1">
      <x:c r="A17" s="192" t="str">
        <x:v>E15</x:v>
      </x:c>
      <x:c r="B17" s="4" t="str">
        <x:v>一手数据</x:v>
      </x:c>
      <x:c r="C17" s="4" t="str">
        <x:v>线下向同学借用的经历与原话</x:v>
      </x:c>
      <x:c r="D17" s="4" t="str">
        <x:v>本组访谈记录</x:v>
      </x:c>
      <x:c r="E17" s="4" t="str">
        <x:v>待填</x:v>
      </x:c>
      <x:c r="F17" s="195" t="str">
        <x:v>待填</x:v>
      </x:c>
      <x:c r="G17" s="4" t="str">
        <x:v>自采一手</x:v>
      </x:c>
      <x:c r="H17" s="4" t="str">
        <x:v>H02/C06</x:v>
      </x:c>
      <x:c r="I17" s="4" t="str">
        <x:v>黄jj</x:v>
      </x:c>
    </x:row>
  </x:sheetData>
  <x:pageMargins left="0.7" right="0.7" top="0.75" bottom="0.75" header="0.3" footer="0.3"/>
</x:worksheet>
</file>